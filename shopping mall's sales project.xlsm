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hidePivotFieldList="1" defaultThemeVersion="166925"/>
  <mc:AlternateContent xmlns:mc="http://schemas.openxmlformats.org/markup-compatibility/2006">
    <mc:Choice Requires="x15">
      <x15ac:absPath xmlns:x15ac="http://schemas.microsoft.com/office/spreadsheetml/2010/11/ac" url="https://d.docs.live.net/6c81ab3d06dc50ce/Desktop/project for data analysis/"/>
    </mc:Choice>
  </mc:AlternateContent>
  <xr:revisionPtr revIDLastSave="285" documentId="13_ncr:40009_{3E70AB22-8F25-46FD-954C-34450E12D350}" xr6:coauthVersionLast="47" xr6:coauthVersionMax="47" xr10:uidLastSave="{A9FC7A78-2BD2-4E11-9959-2B2C8DB4564D}"/>
  <bookViews>
    <workbookView xWindow="-98" yWindow="-98" windowWidth="19396" windowHeight="11475" firstSheet="3" activeTab="5" xr2:uid="{00000000-000D-0000-FFFF-FFFF00000000}"/>
  </bookViews>
  <sheets>
    <sheet name="customer_shoppping_data" sheetId="2" r:id="rId1"/>
    <sheet name="cleaning and processing" sheetId="4" r:id="rId2"/>
    <sheet name="sales by category and malls" sheetId="5" r:id="rId3"/>
    <sheet name="demographic factor " sheetId="13" r:id="rId4"/>
    <sheet name="monthly trend" sheetId="14" r:id="rId5"/>
    <sheet name="payment trends" sheetId="16" r:id="rId6"/>
    <sheet name="dashboard" sheetId="18" r:id="rId7"/>
  </sheets>
  <definedNames>
    <definedName name="Slicer_age_group">#N/A</definedName>
    <definedName name="Slicer_category">#N/A</definedName>
    <definedName name="Slicer_gender">#N/A</definedName>
    <definedName name="Slicer_Months__invoice_date">#N/A</definedName>
  </definedNames>
  <calcPr calcId="191029"/>
  <pivotCaches>
    <pivotCache cacheId="9"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21" i="4" l="1"/>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 i="4"/>
  <c r="L120" i="4"/>
  <c r="L69" i="4"/>
  <c r="L3" i="4"/>
  <c r="L28" i="4"/>
  <c r="L4" i="4"/>
  <c r="L29" i="4"/>
  <c r="L172" i="4"/>
  <c r="L173" i="4"/>
  <c r="L121" i="4"/>
  <c r="L174" i="4"/>
  <c r="L70" i="4"/>
  <c r="L175" i="4"/>
  <c r="L30" i="4"/>
  <c r="L71" i="4"/>
  <c r="L176" i="4"/>
  <c r="L122" i="4"/>
  <c r="L72" i="4"/>
  <c r="L177" i="4"/>
  <c r="L73" i="4"/>
  <c r="L123" i="4"/>
  <c r="L124" i="4"/>
  <c r="L74" i="4"/>
  <c r="L75" i="4"/>
  <c r="L178" i="4"/>
  <c r="L76" i="4"/>
  <c r="L77" i="4"/>
  <c r="L31" i="4"/>
  <c r="L78" i="4"/>
  <c r="L79" i="4"/>
  <c r="L179" i="4"/>
  <c r="L180" i="4"/>
  <c r="L5" i="4"/>
  <c r="L32" i="4"/>
  <c r="L80" i="4"/>
  <c r="L125" i="4"/>
  <c r="L33" i="4"/>
  <c r="L34" i="4"/>
  <c r="L126" i="4"/>
  <c r="L127" i="4"/>
  <c r="L181" i="4"/>
  <c r="L81" i="4"/>
  <c r="L82" i="4"/>
  <c r="L6" i="4"/>
  <c r="L128" i="4"/>
  <c r="L182" i="4"/>
  <c r="L129" i="4"/>
  <c r="L183" i="4"/>
  <c r="L83" i="4"/>
  <c r="L184" i="4"/>
  <c r="L35" i="4"/>
  <c r="L84" i="4"/>
  <c r="L85" i="4"/>
  <c r="L36" i="4"/>
  <c r="L86" i="4"/>
  <c r="L130" i="4"/>
  <c r="L185" i="4"/>
  <c r="L37" i="4"/>
  <c r="L87" i="4"/>
  <c r="L186" i="4"/>
  <c r="L88" i="4"/>
  <c r="L89" i="4"/>
  <c r="L7" i="4"/>
  <c r="L90" i="4"/>
  <c r="L131" i="4"/>
  <c r="L91" i="4"/>
  <c r="L38" i="4"/>
  <c r="L39" i="4"/>
  <c r="L187" i="4"/>
  <c r="L92" i="4"/>
  <c r="L40" i="4"/>
  <c r="L41" i="4"/>
  <c r="L93" i="4"/>
  <c r="L132" i="4"/>
  <c r="L133" i="4"/>
  <c r="L188" i="4"/>
  <c r="L42" i="4"/>
  <c r="L43" i="4"/>
  <c r="L94" i="4"/>
  <c r="L44" i="4"/>
  <c r="L45" i="4"/>
  <c r="L134" i="4"/>
  <c r="L46" i="4"/>
  <c r="L95" i="4"/>
  <c r="L135" i="4"/>
  <c r="L47" i="4"/>
  <c r="L48" i="4"/>
  <c r="L189" i="4"/>
  <c r="L8" i="4"/>
  <c r="L190" i="4"/>
  <c r="L96" i="4"/>
  <c r="L136" i="4"/>
  <c r="L191" i="4"/>
  <c r="L192" i="4"/>
  <c r="L137" i="4"/>
  <c r="L97" i="4"/>
  <c r="L193" i="4"/>
  <c r="L49" i="4"/>
  <c r="L194" i="4"/>
  <c r="L9" i="4"/>
  <c r="L50" i="4"/>
  <c r="L10" i="4"/>
  <c r="L195" i="4"/>
  <c r="L98" i="4"/>
  <c r="L196" i="4"/>
  <c r="L138" i="4"/>
  <c r="L11" i="4"/>
  <c r="L12" i="4"/>
  <c r="L139" i="4"/>
  <c r="L197" i="4"/>
  <c r="L13" i="4"/>
  <c r="L14" i="4"/>
  <c r="L140" i="4"/>
  <c r="L141" i="4"/>
  <c r="L198" i="4"/>
  <c r="L199" i="4"/>
  <c r="L15" i="4"/>
  <c r="L51" i="4"/>
  <c r="L16" i="4"/>
  <c r="L52" i="4"/>
  <c r="L200" i="4"/>
  <c r="L142" i="4"/>
  <c r="L143" i="4"/>
  <c r="L144" i="4"/>
  <c r="L53" i="4"/>
  <c r="L145" i="4"/>
  <c r="L146" i="4"/>
  <c r="L147" i="4"/>
  <c r="L99" i="4"/>
  <c r="L54" i="4"/>
  <c r="L55" i="4"/>
  <c r="L148" i="4"/>
  <c r="L201" i="4"/>
  <c r="L100" i="4"/>
  <c r="L101" i="4"/>
  <c r="L149" i="4"/>
  <c r="L202" i="4"/>
  <c r="L150" i="4"/>
  <c r="L56" i="4"/>
  <c r="L17" i="4"/>
  <c r="L151" i="4"/>
  <c r="L152" i="4"/>
  <c r="L102" i="4"/>
  <c r="L203" i="4"/>
  <c r="L204" i="4"/>
  <c r="L57" i="4"/>
  <c r="L58" i="4"/>
  <c r="L205" i="4"/>
  <c r="L153" i="4"/>
  <c r="L103" i="4"/>
  <c r="L206" i="4"/>
  <c r="L154" i="4"/>
  <c r="L59" i="4"/>
  <c r="L104" i="4"/>
  <c r="L155" i="4"/>
  <c r="L60" i="4"/>
  <c r="L61" i="4"/>
  <c r="L207" i="4"/>
  <c r="L18" i="4"/>
  <c r="L62" i="4"/>
  <c r="L208" i="4"/>
  <c r="L19" i="4"/>
  <c r="L63" i="4"/>
  <c r="L20" i="4"/>
  <c r="L21" i="4"/>
  <c r="L209" i="4"/>
  <c r="L105" i="4"/>
  <c r="L106" i="4"/>
  <c r="L156" i="4"/>
  <c r="L107" i="4"/>
  <c r="L210" i="4"/>
  <c r="L64" i="4"/>
  <c r="L108" i="4"/>
  <c r="L22" i="4"/>
  <c r="L65" i="4"/>
  <c r="L157" i="4"/>
  <c r="L109" i="4"/>
  <c r="L158" i="4"/>
  <c r="L110" i="4"/>
  <c r="L159" i="4"/>
  <c r="L23" i="4"/>
  <c r="L24" i="4"/>
  <c r="L211" i="4"/>
  <c r="L160" i="4"/>
  <c r="L161" i="4"/>
  <c r="L212" i="4"/>
  <c r="L25" i="4"/>
  <c r="L162" i="4"/>
  <c r="L111" i="4"/>
  <c r="L213" i="4"/>
  <c r="L163" i="4"/>
  <c r="L112" i="4"/>
  <c r="L113" i="4"/>
  <c r="L214" i="4"/>
  <c r="L114" i="4"/>
  <c r="L115" i="4"/>
  <c r="L116" i="4"/>
  <c r="L26" i="4"/>
  <c r="L215" i="4"/>
  <c r="L164" i="4"/>
  <c r="L117" i="4"/>
  <c r="L216" i="4"/>
  <c r="L66" i="4"/>
  <c r="L165" i="4"/>
  <c r="L166" i="4"/>
  <c r="L118" i="4"/>
  <c r="L167" i="4"/>
  <c r="L168" i="4"/>
  <c r="L67" i="4"/>
  <c r="L169" i="4"/>
  <c r="L170" i="4"/>
  <c r="L119" i="4"/>
  <c r="L217" i="4"/>
  <c r="L218" i="4"/>
  <c r="L68" i="4"/>
  <c r="L171" i="4"/>
  <c r="L219" i="4"/>
  <c r="L27" i="4"/>
  <c r="L220" i="4"/>
  <c r="K221" i="4"/>
  <c r="K2" i="4"/>
  <c r="K222" i="4"/>
  <c r="K120" i="4"/>
  <c r="K69" i="4"/>
  <c r="K3" i="4"/>
  <c r="K28" i="4"/>
  <c r="K4" i="4"/>
  <c r="K29" i="4"/>
  <c r="K172" i="4"/>
  <c r="K173" i="4"/>
  <c r="K121" i="4"/>
  <c r="K174" i="4"/>
  <c r="K70" i="4"/>
  <c r="K175" i="4"/>
  <c r="K223" i="4"/>
  <c r="K30" i="4"/>
  <c r="K71" i="4"/>
  <c r="K176" i="4"/>
  <c r="K122" i="4"/>
  <c r="K224" i="4"/>
  <c r="K72" i="4"/>
  <c r="K177" i="4"/>
  <c r="K73" i="4"/>
  <c r="K123" i="4"/>
  <c r="K124" i="4"/>
  <c r="K74" i="4"/>
  <c r="K75" i="4"/>
  <c r="K225" i="4"/>
  <c r="K226" i="4"/>
  <c r="K178" i="4"/>
  <c r="K76" i="4"/>
  <c r="K77" i="4"/>
  <c r="K31" i="4"/>
  <c r="K78" i="4"/>
  <c r="K79" i="4"/>
  <c r="K179" i="4"/>
  <c r="K180" i="4"/>
  <c r="K5" i="4"/>
  <c r="K32" i="4"/>
  <c r="K80" i="4"/>
  <c r="K125" i="4"/>
  <c r="K33" i="4"/>
  <c r="K34" i="4"/>
  <c r="K126" i="4"/>
  <c r="K127" i="4"/>
  <c r="K227" i="4"/>
  <c r="K181" i="4"/>
  <c r="K81" i="4"/>
  <c r="K82" i="4"/>
  <c r="K6" i="4"/>
  <c r="K228" i="4"/>
  <c r="K128" i="4"/>
  <c r="K182" i="4"/>
  <c r="K129" i="4"/>
  <c r="K183" i="4"/>
  <c r="K83" i="4"/>
  <c r="K184" i="4"/>
  <c r="K35" i="4"/>
  <c r="K84" i="4"/>
  <c r="K229" i="4"/>
  <c r="K85" i="4"/>
  <c r="K36" i="4"/>
  <c r="K86" i="4"/>
  <c r="K130" i="4"/>
  <c r="K185" i="4"/>
  <c r="K37" i="4"/>
  <c r="K87" i="4"/>
  <c r="K186" i="4"/>
  <c r="K88" i="4"/>
  <c r="K230" i="4"/>
  <c r="K89" i="4"/>
  <c r="K7" i="4"/>
  <c r="K90" i="4"/>
  <c r="K131" i="4"/>
  <c r="K91" i="4"/>
  <c r="K38" i="4"/>
  <c r="K39" i="4"/>
  <c r="K231" i="4"/>
  <c r="K187" i="4"/>
  <c r="K92" i="4"/>
  <c r="K40" i="4"/>
  <c r="K41" i="4"/>
  <c r="K93" i="4"/>
  <c r="K132" i="4"/>
  <c r="K133" i="4"/>
  <c r="K188" i="4"/>
  <c r="K42" i="4"/>
  <c r="K43" i="4"/>
  <c r="K94" i="4"/>
  <c r="K44" i="4"/>
  <c r="K45" i="4"/>
  <c r="K134" i="4"/>
  <c r="K46" i="4"/>
  <c r="K95" i="4"/>
  <c r="K135" i="4"/>
  <c r="K47" i="4"/>
  <c r="K48" i="4"/>
  <c r="K189" i="4"/>
  <c r="K8" i="4"/>
  <c r="K190" i="4"/>
  <c r="K96" i="4"/>
  <c r="K136" i="4"/>
  <c r="K191" i="4"/>
  <c r="K192" i="4"/>
  <c r="K137" i="4"/>
  <c r="K97" i="4"/>
  <c r="K193" i="4"/>
  <c r="K49" i="4"/>
  <c r="K232" i="4"/>
  <c r="K194" i="4"/>
  <c r="K233" i="4"/>
  <c r="K9" i="4"/>
  <c r="K50" i="4"/>
  <c r="K10" i="4"/>
  <c r="K195" i="4"/>
  <c r="K98" i="4"/>
  <c r="K196" i="4"/>
  <c r="K138" i="4"/>
  <c r="K234" i="4"/>
  <c r="K11" i="4"/>
  <c r="K235" i="4"/>
  <c r="K12" i="4"/>
  <c r="K139" i="4"/>
  <c r="K197" i="4"/>
  <c r="K13" i="4"/>
  <c r="K14" i="4"/>
  <c r="K140" i="4"/>
  <c r="K141" i="4"/>
  <c r="K198" i="4"/>
  <c r="K199" i="4"/>
  <c r="K15" i="4"/>
  <c r="K51" i="4"/>
  <c r="K16" i="4"/>
  <c r="K52" i="4"/>
  <c r="K200" i="4"/>
  <c r="K142" i="4"/>
  <c r="K236" i="4"/>
  <c r="K143" i="4"/>
  <c r="K144" i="4"/>
  <c r="K53" i="4"/>
  <c r="K237" i="4"/>
  <c r="K145" i="4"/>
  <c r="K146" i="4"/>
  <c r="K147" i="4"/>
  <c r="K99" i="4"/>
  <c r="K238" i="4"/>
  <c r="K54" i="4"/>
  <c r="K55" i="4"/>
  <c r="K148" i="4"/>
  <c r="K201" i="4"/>
  <c r="K100" i="4"/>
  <c r="K101" i="4"/>
  <c r="K149" i="4"/>
  <c r="K202" i="4"/>
  <c r="K150" i="4"/>
  <c r="K239" i="4"/>
  <c r="K56" i="4"/>
  <c r="K17" i="4"/>
  <c r="K151" i="4"/>
  <c r="K152" i="4"/>
  <c r="K102" i="4"/>
  <c r="K203" i="4"/>
  <c r="K204" i="4"/>
  <c r="K57" i="4"/>
  <c r="K58" i="4"/>
  <c r="K205" i="4"/>
  <c r="K153" i="4"/>
  <c r="K103" i="4"/>
  <c r="K206" i="4"/>
  <c r="K154" i="4"/>
  <c r="K240" i="4"/>
  <c r="K59" i="4"/>
  <c r="K104" i="4"/>
  <c r="K241" i="4"/>
  <c r="K155" i="4"/>
  <c r="K60" i="4"/>
  <c r="K61" i="4"/>
  <c r="K207" i="4"/>
  <c r="K18" i="4"/>
  <c r="K62" i="4"/>
  <c r="K242" i="4"/>
  <c r="K208" i="4"/>
  <c r="K19" i="4"/>
  <c r="K63" i="4"/>
  <c r="K20" i="4"/>
  <c r="K21" i="4"/>
  <c r="K243" i="4"/>
  <c r="K209" i="4"/>
  <c r="K105" i="4"/>
  <c r="K106" i="4"/>
  <c r="K156" i="4"/>
  <c r="K107" i="4"/>
  <c r="K210" i="4"/>
  <c r="K64" i="4"/>
  <c r="K108" i="4"/>
  <c r="K22" i="4"/>
  <c r="K65" i="4"/>
  <c r="K157" i="4"/>
  <c r="K109" i="4"/>
  <c r="K158" i="4"/>
  <c r="K110" i="4"/>
  <c r="K244" i="4"/>
  <c r="K159" i="4"/>
  <c r="K23" i="4"/>
  <c r="K24" i="4"/>
  <c r="K245" i="4"/>
  <c r="K211" i="4"/>
  <c r="K160" i="4"/>
  <c r="K161" i="4"/>
  <c r="K212" i="4"/>
  <c r="K25" i="4"/>
  <c r="K162" i="4"/>
  <c r="K246" i="4"/>
  <c r="K111" i="4"/>
  <c r="K213" i="4"/>
  <c r="K163" i="4"/>
  <c r="K112" i="4"/>
  <c r="K113" i="4"/>
  <c r="K214" i="4"/>
  <c r="K114" i="4"/>
  <c r="K115" i="4"/>
  <c r="K247" i="4"/>
  <c r="K248" i="4"/>
  <c r="K116" i="4"/>
  <c r="K26" i="4"/>
  <c r="K215" i="4"/>
  <c r="K164" i="4"/>
  <c r="K117" i="4"/>
  <c r="K216" i="4"/>
  <c r="K66" i="4"/>
  <c r="K165" i="4"/>
  <c r="K166" i="4"/>
  <c r="K118" i="4"/>
  <c r="K249" i="4"/>
  <c r="K167" i="4"/>
  <c r="K168" i="4"/>
  <c r="K67" i="4"/>
  <c r="K169" i="4"/>
  <c r="K170" i="4"/>
  <c r="K119" i="4"/>
  <c r="K217" i="4"/>
  <c r="K218" i="4"/>
  <c r="K250" i="4"/>
  <c r="K68" i="4"/>
  <c r="K171" i="4"/>
  <c r="K219" i="4"/>
  <c r="K27" i="4"/>
  <c r="K220" i="4"/>
</calcChain>
</file>

<file path=xl/sharedStrings.xml><?xml version="1.0" encoding="utf-8"?>
<sst xmlns="http://schemas.openxmlformats.org/spreadsheetml/2006/main" count="3122" uniqueCount="561">
  <si>
    <t>invoice_no</t>
  </si>
  <si>
    <t>customer_id</t>
  </si>
  <si>
    <t>gender</t>
  </si>
  <si>
    <t>age</t>
  </si>
  <si>
    <t>category</t>
  </si>
  <si>
    <t>quantity</t>
  </si>
  <si>
    <t>price</t>
  </si>
  <si>
    <t>payment_method</t>
  </si>
  <si>
    <t>invoice_date</t>
  </si>
  <si>
    <t>shopping_mall</t>
  </si>
  <si>
    <t>Female</t>
  </si>
  <si>
    <t>Clothing</t>
  </si>
  <si>
    <t>Credit Card</t>
  </si>
  <si>
    <t>Kanyon</t>
  </si>
  <si>
    <t>Male</t>
  </si>
  <si>
    <t>Shoes</t>
  </si>
  <si>
    <t>Debit Card</t>
  </si>
  <si>
    <t>Forum Istanbul</t>
  </si>
  <si>
    <t>Cash</t>
  </si>
  <si>
    <t>Metrocity</t>
  </si>
  <si>
    <t>Metropol AVM</t>
  </si>
  <si>
    <t>Books</t>
  </si>
  <si>
    <t>Cosmetics</t>
  </si>
  <si>
    <t>Istinye Park</t>
  </si>
  <si>
    <t>Mall of Istanbul</t>
  </si>
  <si>
    <t>Food &amp; Beverage</t>
  </si>
  <si>
    <t>Emaar Square Mall</t>
  </si>
  <si>
    <t>Toys</t>
  </si>
  <si>
    <t>Cevahir AVM</t>
  </si>
  <si>
    <t>Viaport Outlet</t>
  </si>
  <si>
    <t>Zorlu Center</t>
  </si>
  <si>
    <t>I992454</t>
  </si>
  <si>
    <t>C196845</t>
  </si>
  <si>
    <t>I183746</t>
  </si>
  <si>
    <t>C220180</t>
  </si>
  <si>
    <t>Technology</t>
  </si>
  <si>
    <t>I339732</t>
  </si>
  <si>
    <t>C276887</t>
  </si>
  <si>
    <t>I267193</t>
  </si>
  <si>
    <t>C317818</t>
  </si>
  <si>
    <t>I202367</t>
  </si>
  <si>
    <t>C317478</t>
  </si>
  <si>
    <t>I664787</t>
  </si>
  <si>
    <t>C237330</t>
  </si>
  <si>
    <t>Souvenir</t>
  </si>
  <si>
    <t>I260525</t>
  </si>
  <si>
    <t>C258404</t>
  </si>
  <si>
    <t>I321683</t>
  </si>
  <si>
    <t>C542025</t>
  </si>
  <si>
    <t>I195567</t>
  </si>
  <si>
    <t>C992677</t>
  </si>
  <si>
    <t>I985478</t>
  </si>
  <si>
    <t>C324683</t>
  </si>
  <si>
    <t>I134452</t>
  </si>
  <si>
    <t>C112750</t>
  </si>
  <si>
    <t>I215279</t>
  </si>
  <si>
    <t>C223343</t>
  </si>
  <si>
    <t>I222086</t>
  </si>
  <si>
    <t>C978718</t>
  </si>
  <si>
    <t>I170160</t>
  </si>
  <si>
    <t>C244213</t>
  </si>
  <si>
    <t>I278401</t>
  </si>
  <si>
    <t>C162371</t>
  </si>
  <si>
    <t>I198233</t>
  </si>
  <si>
    <t>C584141</t>
  </si>
  <si>
    <t>I156233</t>
  </si>
  <si>
    <t>C161285</t>
  </si>
  <si>
    <t>I504141</t>
  </si>
  <si>
    <t>C558480</t>
  </si>
  <si>
    <t>I525798</t>
  </si>
  <si>
    <t>C581947</t>
  </si>
  <si>
    <t>I198698</t>
  </si>
  <si>
    <t>C281268</t>
  </si>
  <si>
    <t>I428118</t>
  </si>
  <si>
    <t>C826744</t>
  </si>
  <si>
    <t>I239703</t>
  </si>
  <si>
    <t>C109489</t>
  </si>
  <si>
    <t>I216982</t>
  </si>
  <si>
    <t>C269751</t>
  </si>
  <si>
    <t>I115679</t>
  </si>
  <si>
    <t>C266462</t>
  </si>
  <si>
    <t>I940840</t>
  </si>
  <si>
    <t>C267961</t>
  </si>
  <si>
    <t>I305432</t>
  </si>
  <si>
    <t>C986860</t>
  </si>
  <si>
    <t>I119142</t>
  </si>
  <si>
    <t>C278588</t>
  </si>
  <si>
    <t>I908600</t>
  </si>
  <si>
    <t>C259539</t>
  </si>
  <si>
    <t>I337094</t>
  </si>
  <si>
    <t>C567509</t>
  </si>
  <si>
    <t>I436935</t>
  </si>
  <si>
    <t>C486241</t>
  </si>
  <si>
    <t>I585560</t>
  </si>
  <si>
    <t>C306892</t>
  </si>
  <si>
    <t>I304567</t>
  </si>
  <si>
    <t>C317897</t>
  </si>
  <si>
    <t>I289611</t>
  </si>
  <si>
    <t>C222906</t>
  </si>
  <si>
    <t>I258204</t>
  </si>
  <si>
    <t>C167183</t>
  </si>
  <si>
    <t>I264491</t>
  </si>
  <si>
    <t>C107261</t>
  </si>
  <si>
    <t>I941223</t>
  </si>
  <si>
    <t>C291911</t>
  </si>
  <si>
    <t>I846943</t>
  </si>
  <si>
    <t>C134691</t>
  </si>
  <si>
    <t>I946433</t>
  </si>
  <si>
    <t>C387164</t>
  </si>
  <si>
    <t>I721903</t>
  </si>
  <si>
    <t>C284031</t>
  </si>
  <si>
    <t>I423124</t>
  </si>
  <si>
    <t>C109593</t>
  </si>
  <si>
    <t>I208491</t>
  </si>
  <si>
    <t>C299172</t>
  </si>
  <si>
    <t>I873382</t>
  </si>
  <si>
    <t>C289802</t>
  </si>
  <si>
    <t>I283774</t>
  </si>
  <si>
    <t>C210614</t>
  </si>
  <si>
    <t>I291062</t>
  </si>
  <si>
    <t>C209122</t>
  </si>
  <si>
    <t>I648743</t>
  </si>
  <si>
    <t>C218295</t>
  </si>
  <si>
    <t>I254341</t>
  </si>
  <si>
    <t>C703073</t>
  </si>
  <si>
    <t>I300520</t>
  </si>
  <si>
    <t>C282107</t>
  </si>
  <si>
    <t>I936118</t>
  </si>
  <si>
    <t>C229670</t>
  </si>
  <si>
    <t>I230701</t>
  </si>
  <si>
    <t>C339339</t>
  </si>
  <si>
    <t>I230983</t>
  </si>
  <si>
    <t>C321993</t>
  </si>
  <si>
    <t>I117277</t>
  </si>
  <si>
    <t>C292758</t>
  </si>
  <si>
    <t>I158486</t>
  </si>
  <si>
    <t>C858536</t>
  </si>
  <si>
    <t>I325555</t>
  </si>
  <si>
    <t>C162986</t>
  </si>
  <si>
    <t>I194268</t>
  </si>
  <si>
    <t>C128618</t>
  </si>
  <si>
    <t>I205336</t>
  </si>
  <si>
    <t>C331127</t>
  </si>
  <si>
    <t>I231029</t>
  </si>
  <si>
    <t>C113739</t>
  </si>
  <si>
    <t>I193148</t>
  </si>
  <si>
    <t>C297610</t>
  </si>
  <si>
    <t>I318625</t>
  </si>
  <si>
    <t>C319935</t>
  </si>
  <si>
    <t>I610847</t>
  </si>
  <si>
    <t>C322689</t>
  </si>
  <si>
    <t>I145917</t>
  </si>
  <si>
    <t>C272419</t>
  </si>
  <si>
    <t>I173288</t>
  </si>
  <si>
    <t>C264687</t>
  </si>
  <si>
    <t>I174942</t>
  </si>
  <si>
    <t>C200317</t>
  </si>
  <si>
    <t>I466698</t>
  </si>
  <si>
    <t>C303444</t>
  </si>
  <si>
    <t>I131869</t>
  </si>
  <si>
    <t>C267843</t>
  </si>
  <si>
    <t>I165583</t>
  </si>
  <si>
    <t>C235482</t>
  </si>
  <si>
    <t>I187453</t>
  </si>
  <si>
    <t>C690345</t>
  </si>
  <si>
    <t>I929854</t>
  </si>
  <si>
    <t>C114606</t>
  </si>
  <si>
    <t>I338411</t>
  </si>
  <si>
    <t>C884264</t>
  </si>
  <si>
    <t>I218234</t>
  </si>
  <si>
    <t>C136585</t>
  </si>
  <si>
    <t>I268823</t>
  </si>
  <si>
    <t>C230543</t>
  </si>
  <si>
    <t>I256639</t>
  </si>
  <si>
    <t>C158968</t>
  </si>
  <si>
    <t>I140825</t>
  </si>
  <si>
    <t>C144823</t>
  </si>
  <si>
    <t>I198156</t>
  </si>
  <si>
    <t>C149637</t>
  </si>
  <si>
    <t>I186033</t>
  </si>
  <si>
    <t>C766767</t>
  </si>
  <si>
    <t>I307337</t>
  </si>
  <si>
    <t>C322195</t>
  </si>
  <si>
    <t>I910927</t>
  </si>
  <si>
    <t>C300832</t>
  </si>
  <si>
    <t>I240283</t>
  </si>
  <si>
    <t>C812425</t>
  </si>
  <si>
    <t>I788206</t>
  </si>
  <si>
    <t>C249725</t>
  </si>
  <si>
    <t>I262240</t>
  </si>
  <si>
    <t>C105474</t>
  </si>
  <si>
    <t>I846448</t>
  </si>
  <si>
    <t>C870412</t>
  </si>
  <si>
    <t>I701994</t>
  </si>
  <si>
    <t>C289614</t>
  </si>
  <si>
    <t>I334498</t>
  </si>
  <si>
    <t>C108756</t>
  </si>
  <si>
    <t>I176867</t>
  </si>
  <si>
    <t>C462416</t>
  </si>
  <si>
    <t>I249846</t>
  </si>
  <si>
    <t>C832010</t>
  </si>
  <si>
    <t>I255430</t>
  </si>
  <si>
    <t>C981925</t>
  </si>
  <si>
    <t>I165932</t>
  </si>
  <si>
    <t>C237757</t>
  </si>
  <si>
    <t>I177444</t>
  </si>
  <si>
    <t>C179915</t>
  </si>
  <si>
    <t>I144412</t>
  </si>
  <si>
    <t>C261316</t>
  </si>
  <si>
    <t>I215044</t>
  </si>
  <si>
    <t>C184322</t>
  </si>
  <si>
    <t>I752293</t>
  </si>
  <si>
    <t>C211763</t>
  </si>
  <si>
    <t>I306370</t>
  </si>
  <si>
    <t>C158827</t>
  </si>
  <si>
    <t>I145120</t>
  </si>
  <si>
    <t>C293612</t>
  </si>
  <si>
    <t>I304606</t>
  </si>
  <si>
    <t>C316806</t>
  </si>
  <si>
    <t>I174237</t>
  </si>
  <si>
    <t>C289650</t>
  </si>
  <si>
    <t>I231403</t>
  </si>
  <si>
    <t>C230619</t>
  </si>
  <si>
    <t>I317840</t>
  </si>
  <si>
    <t>C296318</t>
  </si>
  <si>
    <t>I288734</t>
  </si>
  <si>
    <t>C993876</t>
  </si>
  <si>
    <t>I980023</t>
  </si>
  <si>
    <t>C120118</t>
  </si>
  <si>
    <t>I245816</t>
  </si>
  <si>
    <t>C310676</t>
  </si>
  <si>
    <t>I317125</t>
  </si>
  <si>
    <t>C845711</t>
  </si>
  <si>
    <t>I145770</t>
  </si>
  <si>
    <t>C709824</t>
  </si>
  <si>
    <t>I364470</t>
  </si>
  <si>
    <t>C162162</t>
  </si>
  <si>
    <t>I637087</t>
  </si>
  <si>
    <t>C295880</t>
  </si>
  <si>
    <t>I335650</t>
  </si>
  <si>
    <t>C245681</t>
  </si>
  <si>
    <t>I296120</t>
  </si>
  <si>
    <t>C750093</t>
  </si>
  <si>
    <t>I227528</t>
  </si>
  <si>
    <t>C187110</t>
  </si>
  <si>
    <t>I289344</t>
  </si>
  <si>
    <t>C197522</t>
  </si>
  <si>
    <t>I228840</t>
  </si>
  <si>
    <t>C128660</t>
  </si>
  <si>
    <t>I133290</t>
  </si>
  <si>
    <t>C334601</t>
  </si>
  <si>
    <t>I340342</t>
  </si>
  <si>
    <t>C295466</t>
  </si>
  <si>
    <t>I421240</t>
  </si>
  <si>
    <t>C382952</t>
  </si>
  <si>
    <t>I132312</t>
  </si>
  <si>
    <t>C313275</t>
  </si>
  <si>
    <t>I392560</t>
  </si>
  <si>
    <t>C892096</t>
  </si>
  <si>
    <t>I301174</t>
  </si>
  <si>
    <t>C119219</t>
  </si>
  <si>
    <t>I227236</t>
  </si>
  <si>
    <t>C273853</t>
  </si>
  <si>
    <t>I329009</t>
  </si>
  <si>
    <t>C198161</t>
  </si>
  <si>
    <t>I133527</t>
  </si>
  <si>
    <t>C131842</t>
  </si>
  <si>
    <t>I280717</t>
  </si>
  <si>
    <t>C136014</t>
  </si>
  <si>
    <t>I157192</t>
  </si>
  <si>
    <t>C283350</t>
  </si>
  <si>
    <t>I101731</t>
  </si>
  <si>
    <t>C125296</t>
  </si>
  <si>
    <t>I135796</t>
  </si>
  <si>
    <t>C170508</t>
  </si>
  <si>
    <t>I716275</t>
  </si>
  <si>
    <t>C894269</t>
  </si>
  <si>
    <t>I240580</t>
  </si>
  <si>
    <t>C625736</t>
  </si>
  <si>
    <t>I339346</t>
  </si>
  <si>
    <t>C144276</t>
  </si>
  <si>
    <t>I284344</t>
  </si>
  <si>
    <t>C125800</t>
  </si>
  <si>
    <t>I857171</t>
  </si>
  <si>
    <t>C115898</t>
  </si>
  <si>
    <t>I201709</t>
  </si>
  <si>
    <t>C210240</t>
  </si>
  <si>
    <t>I868553</t>
  </si>
  <si>
    <t>C105764</t>
  </si>
  <si>
    <t>I254673</t>
  </si>
  <si>
    <t>C143430</t>
  </si>
  <si>
    <t>I255301</t>
  </si>
  <si>
    <t>C306089</t>
  </si>
  <si>
    <t>I844405</t>
  </si>
  <si>
    <t>C886153</t>
  </si>
  <si>
    <t>I304830</t>
  </si>
  <si>
    <t>C240135</t>
  </si>
  <si>
    <t>I128667</t>
  </si>
  <si>
    <t>C187422</t>
  </si>
  <si>
    <t>I108567</t>
  </si>
  <si>
    <t>C488263</t>
  </si>
  <si>
    <t>I150364</t>
  </si>
  <si>
    <t>C134039</t>
  </si>
  <si>
    <t>I298023</t>
  </si>
  <si>
    <t>C828402</t>
  </si>
  <si>
    <t>I797149</t>
  </si>
  <si>
    <t>C225949</t>
  </si>
  <si>
    <t>I222463</t>
  </si>
  <si>
    <t>C243451</t>
  </si>
  <si>
    <t>I875529</t>
  </si>
  <si>
    <t>C353540</t>
  </si>
  <si>
    <t>I139530</t>
  </si>
  <si>
    <t>C572091</t>
  </si>
  <si>
    <t>I206642</t>
  </si>
  <si>
    <t>C289260</t>
  </si>
  <si>
    <t>I283507</t>
  </si>
  <si>
    <t>C268455</t>
  </si>
  <si>
    <t>I272181</t>
  </si>
  <si>
    <t>C279559</t>
  </si>
  <si>
    <t>I173444</t>
  </si>
  <si>
    <t>C422499</t>
  </si>
  <si>
    <t>I297633</t>
  </si>
  <si>
    <t>C311887</t>
  </si>
  <si>
    <t>I400888</t>
  </si>
  <si>
    <t>C143471</t>
  </si>
  <si>
    <t>I134446</t>
  </si>
  <si>
    <t>C661696</t>
  </si>
  <si>
    <t>I112064</t>
  </si>
  <si>
    <t>C203624</t>
  </si>
  <si>
    <t>I192662</t>
  </si>
  <si>
    <t>C238146</t>
  </si>
  <si>
    <t>I233758</t>
  </si>
  <si>
    <t>C325757</t>
  </si>
  <si>
    <t>I978050</t>
  </si>
  <si>
    <t>C176604</t>
  </si>
  <si>
    <t>I184859</t>
  </si>
  <si>
    <t>C272792</t>
  </si>
  <si>
    <t>I133952</t>
  </si>
  <si>
    <t>C233646</t>
  </si>
  <si>
    <t>I229390</t>
  </si>
  <si>
    <t>C246959</t>
  </si>
  <si>
    <t>I983925</t>
  </si>
  <si>
    <t>C198062</t>
  </si>
  <si>
    <t>I237866</t>
  </si>
  <si>
    <t>C297260</t>
  </si>
  <si>
    <t>I148577</t>
  </si>
  <si>
    <t>C952467</t>
  </si>
  <si>
    <t>I645871</t>
  </si>
  <si>
    <t>C578468</t>
  </si>
  <si>
    <t>I123918</t>
  </si>
  <si>
    <t>C336809</t>
  </si>
  <si>
    <t>I139745</t>
  </si>
  <si>
    <t>C117351</t>
  </si>
  <si>
    <t>I105721</t>
  </si>
  <si>
    <t>C318000</t>
  </si>
  <si>
    <t>I119685</t>
  </si>
  <si>
    <t>C211689</t>
  </si>
  <si>
    <t>I126694</t>
  </si>
  <si>
    <t>C311661</t>
  </si>
  <si>
    <t>I188063</t>
  </si>
  <si>
    <t>C632239</t>
  </si>
  <si>
    <t>I187255</t>
  </si>
  <si>
    <t>C113670</t>
  </si>
  <si>
    <t>I572573</t>
  </si>
  <si>
    <t>C205210</t>
  </si>
  <si>
    <t>I153262</t>
  </si>
  <si>
    <t>C151884</t>
  </si>
  <si>
    <t>I737951</t>
  </si>
  <si>
    <t>C143091</t>
  </si>
  <si>
    <t>I213763</t>
  </si>
  <si>
    <t>C262982</t>
  </si>
  <si>
    <t>I212437</t>
  </si>
  <si>
    <t>C241260</t>
  </si>
  <si>
    <t>I147428</t>
  </si>
  <si>
    <t>C192403</t>
  </si>
  <si>
    <t>I324526</t>
  </si>
  <si>
    <t>C173979</t>
  </si>
  <si>
    <t>I170200</t>
  </si>
  <si>
    <t>C116013</t>
  </si>
  <si>
    <t>I916921</t>
  </si>
  <si>
    <t>C876606</t>
  </si>
  <si>
    <t>I168776</t>
  </si>
  <si>
    <t>C231125</t>
  </si>
  <si>
    <t>I130454</t>
  </si>
  <si>
    <t>C155210</t>
  </si>
  <si>
    <t>I142757</t>
  </si>
  <si>
    <t>C308224</t>
  </si>
  <si>
    <t>I194729</t>
  </si>
  <si>
    <t>C561708</t>
  </si>
  <si>
    <t>I136074</t>
  </si>
  <si>
    <t>C173996</t>
  </si>
  <si>
    <t>I250095</t>
  </si>
  <si>
    <t>C140031</t>
  </si>
  <si>
    <t>I156932</t>
  </si>
  <si>
    <t>C262657</t>
  </si>
  <si>
    <t>I324135</t>
  </si>
  <si>
    <t>C295545</t>
  </si>
  <si>
    <t>I228011</t>
  </si>
  <si>
    <t>C248081</t>
  </si>
  <si>
    <t>I429412</t>
  </si>
  <si>
    <t>C184011</t>
  </si>
  <si>
    <t>I165270</t>
  </si>
  <si>
    <t>C140342</t>
  </si>
  <si>
    <t>I202056</t>
  </si>
  <si>
    <t>C958378</t>
  </si>
  <si>
    <t>I955408</t>
  </si>
  <si>
    <t>C274639</t>
  </si>
  <si>
    <t>I760747</t>
  </si>
  <si>
    <t>C370083</t>
  </si>
  <si>
    <t>I557804</t>
  </si>
  <si>
    <t>C208335</t>
  </si>
  <si>
    <t>I274795</t>
  </si>
  <si>
    <t>C314543</t>
  </si>
  <si>
    <t>I599893</t>
  </si>
  <si>
    <t>C496957</t>
  </si>
  <si>
    <t>I266781</t>
  </si>
  <si>
    <t>C226901</t>
  </si>
  <si>
    <t>I232062</t>
  </si>
  <si>
    <t>C525444</t>
  </si>
  <si>
    <t>I260295</t>
  </si>
  <si>
    <t>C323715</t>
  </si>
  <si>
    <t>I478239</t>
  </si>
  <si>
    <t>C216402</t>
  </si>
  <si>
    <t>I294064</t>
  </si>
  <si>
    <t>C157231</t>
  </si>
  <si>
    <t>I158989</t>
  </si>
  <si>
    <t>C644501</t>
  </si>
  <si>
    <t>I250203</t>
  </si>
  <si>
    <t>C226800</t>
  </si>
  <si>
    <t>I104160</t>
  </si>
  <si>
    <t>C120670</t>
  </si>
  <si>
    <t>I320496</t>
  </si>
  <si>
    <t>C472457</t>
  </si>
  <si>
    <t>I323948</t>
  </si>
  <si>
    <t>C137694</t>
  </si>
  <si>
    <t>I314442</t>
  </si>
  <si>
    <t>C851697</t>
  </si>
  <si>
    <t>I241813</t>
  </si>
  <si>
    <t>C259650</t>
  </si>
  <si>
    <t>I280091</t>
  </si>
  <si>
    <t>C277636</t>
  </si>
  <si>
    <t>I177200</t>
  </si>
  <si>
    <t>C197871</t>
  </si>
  <si>
    <t>I135566</t>
  </si>
  <si>
    <t>C306867</t>
  </si>
  <si>
    <t>I241446</t>
  </si>
  <si>
    <t>C214743</t>
  </si>
  <si>
    <t>I106687</t>
  </si>
  <si>
    <t>C335983</t>
  </si>
  <si>
    <t>I206495</t>
  </si>
  <si>
    <t>C309927</t>
  </si>
  <si>
    <t>I318281</t>
  </si>
  <si>
    <t>C164736</t>
  </si>
  <si>
    <t>I509314</t>
  </si>
  <si>
    <t>C193427</t>
  </si>
  <si>
    <t>I265794</t>
  </si>
  <si>
    <t>C261459</t>
  </si>
  <si>
    <t>I166626</t>
  </si>
  <si>
    <t>C332667</t>
  </si>
  <si>
    <t>I323407</t>
  </si>
  <si>
    <t>C241345</t>
  </si>
  <si>
    <t>I786441</t>
  </si>
  <si>
    <t>C151925</t>
  </si>
  <si>
    <t>I317873</t>
  </si>
  <si>
    <t>C535096</t>
  </si>
  <si>
    <t>I150400</t>
  </si>
  <si>
    <t>C219995</t>
  </si>
  <si>
    <t>I252715</t>
  </si>
  <si>
    <t>C623628</t>
  </si>
  <si>
    <t>I202792</t>
  </si>
  <si>
    <t>C963729</t>
  </si>
  <si>
    <t>I287301</t>
  </si>
  <si>
    <t>C202744</t>
  </si>
  <si>
    <t>I189261</t>
  </si>
  <si>
    <t>C163301</t>
  </si>
  <si>
    <t>I177135</t>
  </si>
  <si>
    <t>C654762</t>
  </si>
  <si>
    <t>I446775</t>
  </si>
  <si>
    <t>C135162</t>
  </si>
  <si>
    <t>I180909</t>
  </si>
  <si>
    <t>C114698</t>
  </si>
  <si>
    <t>I252712</t>
  </si>
  <si>
    <t>C865866</t>
  </si>
  <si>
    <t>I162230</t>
  </si>
  <si>
    <t>C599749</t>
  </si>
  <si>
    <t>I327961</t>
  </si>
  <si>
    <t>C252500</t>
  </si>
  <si>
    <t>I187874</t>
  </si>
  <si>
    <t>C194270</t>
  </si>
  <si>
    <t>I315209</t>
  </si>
  <si>
    <t>C330263</t>
  </si>
  <si>
    <t>I223993</t>
  </si>
  <si>
    <t>C318751</t>
  </si>
  <si>
    <t>I653178</t>
  </si>
  <si>
    <t>C176551</t>
  </si>
  <si>
    <t>I300117</t>
  </si>
  <si>
    <t>C968038</t>
  </si>
  <si>
    <t>I247839</t>
  </si>
  <si>
    <t>C184299</t>
  </si>
  <si>
    <t>I230347</t>
  </si>
  <si>
    <t>C696396</t>
  </si>
  <si>
    <t>I154426</t>
  </si>
  <si>
    <t>C208165</t>
  </si>
  <si>
    <t>I260704</t>
  </si>
  <si>
    <t>C110520</t>
  </si>
  <si>
    <t>I273212</t>
  </si>
  <si>
    <t>C640694</t>
  </si>
  <si>
    <t>I167565</t>
  </si>
  <si>
    <t>C759854</t>
  </si>
  <si>
    <t>I725048</t>
  </si>
  <si>
    <t>C934207</t>
  </si>
  <si>
    <t>I265048</t>
  </si>
  <si>
    <t>C296532</t>
  </si>
  <si>
    <t>I137646</t>
  </si>
  <si>
    <t>C162352</t>
  </si>
  <si>
    <t>I167926</t>
  </si>
  <si>
    <t>C228581</t>
  </si>
  <si>
    <t>I177813</t>
  </si>
  <si>
    <t>C247391</t>
  </si>
  <si>
    <t>I180472</t>
  </si>
  <si>
    <t>C883222</t>
  </si>
  <si>
    <t>I190345</t>
  </si>
  <si>
    <t>C137037</t>
  </si>
  <si>
    <t>I147310</t>
  </si>
  <si>
    <t>C202302</t>
  </si>
  <si>
    <t>I603978</t>
  </si>
  <si>
    <t>C225310</t>
  </si>
  <si>
    <t>I108615</t>
  </si>
  <si>
    <t>C217169</t>
  </si>
  <si>
    <t>I105654</t>
  </si>
  <si>
    <t>C227568</t>
  </si>
  <si>
    <t>sales</t>
  </si>
  <si>
    <t>Mean</t>
  </si>
  <si>
    <t>Standard Error</t>
  </si>
  <si>
    <t>Median</t>
  </si>
  <si>
    <t>Mode</t>
  </si>
  <si>
    <t>Standard Deviation</t>
  </si>
  <si>
    <t>Sample Variance</t>
  </si>
  <si>
    <t>Kurtosis</t>
  </si>
  <si>
    <t>Skewness</t>
  </si>
  <si>
    <t>Range</t>
  </si>
  <si>
    <t>Minimum</t>
  </si>
  <si>
    <t>Maximum</t>
  </si>
  <si>
    <t>Sum</t>
  </si>
  <si>
    <t>Count</t>
  </si>
  <si>
    <t>Sum of sales</t>
  </si>
  <si>
    <t>Column Labels</t>
  </si>
  <si>
    <t>Grand Total</t>
  </si>
  <si>
    <t>Row Labels</t>
  </si>
  <si>
    <t>Count of customer_id</t>
  </si>
  <si>
    <t>age group</t>
  </si>
  <si>
    <t>18-24</t>
  </si>
  <si>
    <t>25-34</t>
  </si>
  <si>
    <t>35-44</t>
  </si>
  <si>
    <t>45-54</t>
  </si>
  <si>
    <t>55-64</t>
  </si>
  <si>
    <t>65-69</t>
  </si>
  <si>
    <t>Mar</t>
  </si>
  <si>
    <t>Retail Analytics Dashboard: Sales,Demographics, Monthly Trends, and Payment Trends</t>
  </si>
  <si>
    <t>Jan</t>
  </si>
  <si>
    <t>Feb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</si>
</sst>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0;[Red]#,##0"/>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name val="Calibri"/>
      <family val="2"/>
      <scheme val="minor"/>
    </font>
    <font>
      <sz val="11"/>
      <name val="Calibri"/>
      <family val="2"/>
      <scheme val="minor"/>
    </font>
    <font>
      <i/>
      <sz val="11"/>
      <color theme="1"/>
      <name val="Calibri"/>
      <family val="2"/>
      <scheme val="minor"/>
    </font>
    <font>
      <sz val="24"/>
      <color rgb="FFFF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0"/>
        <bgColor indexed="64"/>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43">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8">
    <xf numFmtId="0" fontId="0" fillId="0" borderId="0" xfId="0"/>
    <xf numFmtId="14" fontId="0" fillId="0" borderId="0" xfId="0" applyNumberFormat="1"/>
    <xf numFmtId="0" fontId="19" fillId="34" borderId="0" xfId="0" applyFont="1" applyFill="1"/>
    <xf numFmtId="0" fontId="0" fillId="0" borderId="10" xfId="0" applyBorder="1"/>
    <xf numFmtId="14" fontId="0" fillId="0" borderId="10" xfId="0" applyNumberFormat="1" applyBorder="1"/>
    <xf numFmtId="44" fontId="0" fillId="0" borderId="10" xfId="1" applyFont="1" applyBorder="1"/>
    <xf numFmtId="164" fontId="0" fillId="0" borderId="10" xfId="0" applyNumberFormat="1" applyBorder="1"/>
    <xf numFmtId="0" fontId="0" fillId="0" borderId="11" xfId="0" applyBorder="1"/>
    <xf numFmtId="0" fontId="20" fillId="0" borderId="12" xfId="0" applyFont="1" applyBorder="1" applyAlignment="1">
      <alignment horizontal="centerContinuous"/>
    </xf>
    <xf numFmtId="0" fontId="0" fillId="0" borderId="13" xfId="0" applyBorder="1"/>
    <xf numFmtId="44" fontId="0" fillId="0" borderId="14" xfId="0" applyNumberFormat="1" applyBorder="1"/>
    <xf numFmtId="0" fontId="18" fillId="33" borderId="15" xfId="0" applyFont="1" applyFill="1" applyBorder="1"/>
    <xf numFmtId="0" fontId="18" fillId="33" borderId="16" xfId="0" applyFont="1" applyFill="1" applyBorder="1"/>
    <xf numFmtId="164" fontId="18" fillId="33" borderId="16" xfId="0" applyNumberFormat="1" applyFont="1" applyFill="1" applyBorder="1"/>
    <xf numFmtId="44" fontId="18" fillId="33" borderId="16" xfId="1" applyFont="1" applyFill="1" applyBorder="1"/>
    <xf numFmtId="14" fontId="18" fillId="33" borderId="16" xfId="0" applyNumberFormat="1" applyFont="1" applyFill="1" applyBorder="1"/>
    <xf numFmtId="0" fontId="18" fillId="33" borderId="17" xfId="0" applyFont="1" applyFill="1" applyBorder="1"/>
    <xf numFmtId="0" fontId="0" fillId="0" borderId="18" xfId="0" applyBorder="1"/>
    <xf numFmtId="0" fontId="0" fillId="0" borderId="19" xfId="0" applyBorder="1"/>
    <xf numFmtId="164" fontId="0" fillId="0" borderId="19" xfId="0" applyNumberFormat="1" applyBorder="1"/>
    <xf numFmtId="44" fontId="0" fillId="0" borderId="19" xfId="1" applyFont="1" applyBorder="1"/>
    <xf numFmtId="14" fontId="0" fillId="0" borderId="19" xfId="0" applyNumberFormat="1" applyBorder="1"/>
    <xf numFmtId="44" fontId="0" fillId="0" borderId="20" xfId="0" applyNumberFormat="1" applyBorder="1"/>
    <xf numFmtId="0" fontId="0" fillId="0" borderId="0" xfId="0" pivotButton="1"/>
    <xf numFmtId="0" fontId="0" fillId="0" borderId="0" xfId="0" applyAlignment="1">
      <alignment horizontal="left"/>
    </xf>
    <xf numFmtId="44" fontId="0" fillId="0" borderId="17" xfId="0" applyNumberFormat="1" applyBorder="1"/>
    <xf numFmtId="0" fontId="21" fillId="33" borderId="0" xfId="0" applyFont="1" applyFill="1" applyAlignment="1">
      <alignment horizontal="left"/>
    </xf>
    <xf numFmtId="0" fontId="0" fillId="0" borderId="0" xfId="0" applyNumberForma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6">
    <dxf>
      <numFmt numFmtId="34" formatCode="_-&quot;$&quot;* #,##0.00_-;\-&quot;$&quot;* #,##0.00_-;_-&quot;$&quot;* &quot;-&quot;??_-;_-@_-"/>
      <border diagonalUp="0" diagonalDown="0">
        <left style="thin">
          <color indexed="64"/>
        </left>
        <right/>
        <top style="thin">
          <color indexed="64"/>
        </top>
        <bottom style="thin">
          <color indexed="64"/>
        </bottom>
        <vertical/>
        <horizontal/>
      </border>
    </dxf>
    <dxf>
      <numFmt numFmtId="34" formatCode="_-&quot;$&quot;* #,##0.00_-;\-&quot;$&quot;* #,##0.00_-;_-&quot;$&quot;* &quot;-&quot;??_-;_-@_-"/>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9" formatCode="d/mm/yyyy"/>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64" formatCode="#,##0;[Red]#,##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[customer_shopping_data.xlsm]sales by category and malls!PivotTable1</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by category and malls'!$B$3:$B$4</c:f>
              <c:strCache>
                <c:ptCount val="1"/>
                <c:pt idx="0">
                  <c:v>Books</c:v>
                </c:pt>
              </c:strCache>
            </c:strRef>
          </c:tx>
          <c:spPr>
            <a:ln w="28575" cap="rnd">
              <a:solidFill>
                <a:schemeClr val="accent1"/>
              </a:solidFill>
              <a:round/>
            </a:ln>
            <a:effectLst/>
          </c:spPr>
          <c:marker>
            <c:symbol val="none"/>
          </c:marker>
          <c:cat>
            <c:strRef>
              <c:f>'sales by category and malls'!$A$5:$A$15</c:f>
              <c:strCache>
                <c:ptCount val="10"/>
                <c:pt idx="0">
                  <c:v>Cevahir AVM</c:v>
                </c:pt>
                <c:pt idx="1">
                  <c:v>Emaar Square Mall</c:v>
                </c:pt>
                <c:pt idx="2">
                  <c:v>Forum Istanbul</c:v>
                </c:pt>
                <c:pt idx="3">
                  <c:v>Istinye Park</c:v>
                </c:pt>
                <c:pt idx="4">
                  <c:v>Kanyon</c:v>
                </c:pt>
                <c:pt idx="5">
                  <c:v>Mall of Istanbul</c:v>
                </c:pt>
                <c:pt idx="6">
                  <c:v>Metrocity</c:v>
                </c:pt>
                <c:pt idx="7">
                  <c:v>Metropol AVM</c:v>
                </c:pt>
                <c:pt idx="8">
                  <c:v>Viaport Outlet</c:v>
                </c:pt>
                <c:pt idx="9">
                  <c:v>Zorlu Center</c:v>
                </c:pt>
              </c:strCache>
            </c:strRef>
          </c:cat>
          <c:val>
            <c:numRef>
              <c:f>'sales by category and malls'!$B$5:$B$15</c:f>
              <c:numCache>
                <c:formatCode>General</c:formatCode>
                <c:ptCount val="10"/>
                <c:pt idx="3">
                  <c:v>136.35000000000002</c:v>
                </c:pt>
                <c:pt idx="4">
                  <c:v>681.75</c:v>
                </c:pt>
                <c:pt idx="5">
                  <c:v>1136.25</c:v>
                </c:pt>
                <c:pt idx="6">
                  <c:v>439.35</c:v>
                </c:pt>
                <c:pt idx="7">
                  <c:v>621.15</c:v>
                </c:pt>
                <c:pt idx="8">
                  <c:v>15.15</c:v>
                </c:pt>
              </c:numCache>
            </c:numRef>
          </c:val>
          <c:smooth val="0"/>
          <c:extLst>
            <c:ext xmlns:c16="http://schemas.microsoft.com/office/drawing/2014/chart" uri="{C3380CC4-5D6E-409C-BE32-E72D297353CC}">
              <c16:uniqueId val="{00000000-9871-4890-8A2F-07B66A7910AC}"/>
            </c:ext>
          </c:extLst>
        </c:ser>
        <c:ser>
          <c:idx val="1"/>
          <c:order val="1"/>
          <c:tx>
            <c:strRef>
              <c:f>'sales by category and malls'!$C$3:$C$4</c:f>
              <c:strCache>
                <c:ptCount val="1"/>
                <c:pt idx="0">
                  <c:v>Clothing</c:v>
                </c:pt>
              </c:strCache>
            </c:strRef>
          </c:tx>
          <c:spPr>
            <a:ln w="28575" cap="rnd">
              <a:solidFill>
                <a:schemeClr val="accent2"/>
              </a:solidFill>
              <a:round/>
            </a:ln>
            <a:effectLst/>
          </c:spPr>
          <c:marker>
            <c:symbol val="none"/>
          </c:marker>
          <c:cat>
            <c:strRef>
              <c:f>'sales by category and malls'!$A$5:$A$15</c:f>
              <c:strCache>
                <c:ptCount val="10"/>
                <c:pt idx="0">
                  <c:v>Cevahir AVM</c:v>
                </c:pt>
                <c:pt idx="1">
                  <c:v>Emaar Square Mall</c:v>
                </c:pt>
                <c:pt idx="2">
                  <c:v>Forum Istanbul</c:v>
                </c:pt>
                <c:pt idx="3">
                  <c:v>Istinye Park</c:v>
                </c:pt>
                <c:pt idx="4">
                  <c:v>Kanyon</c:v>
                </c:pt>
                <c:pt idx="5">
                  <c:v>Mall of Istanbul</c:v>
                </c:pt>
                <c:pt idx="6">
                  <c:v>Metrocity</c:v>
                </c:pt>
                <c:pt idx="7">
                  <c:v>Metropol AVM</c:v>
                </c:pt>
                <c:pt idx="8">
                  <c:v>Viaport Outlet</c:v>
                </c:pt>
                <c:pt idx="9">
                  <c:v>Zorlu Center</c:v>
                </c:pt>
              </c:strCache>
            </c:strRef>
          </c:cat>
          <c:val>
            <c:numRef>
              <c:f>'sales by category and malls'!$C$5:$C$15</c:f>
              <c:numCache>
                <c:formatCode>General</c:formatCode>
                <c:ptCount val="10"/>
                <c:pt idx="0">
                  <c:v>7502</c:v>
                </c:pt>
                <c:pt idx="1">
                  <c:v>27307.280000000002</c:v>
                </c:pt>
                <c:pt idx="2">
                  <c:v>5101.3599999999997</c:v>
                </c:pt>
                <c:pt idx="3">
                  <c:v>35709.520000000004</c:v>
                </c:pt>
                <c:pt idx="4">
                  <c:v>67818.080000000016</c:v>
                </c:pt>
                <c:pt idx="5">
                  <c:v>49513.200000000004</c:v>
                </c:pt>
                <c:pt idx="6">
                  <c:v>50113.36</c:v>
                </c:pt>
                <c:pt idx="7">
                  <c:v>33608.959999999999</c:v>
                </c:pt>
                <c:pt idx="8">
                  <c:v>3000.7999999999997</c:v>
                </c:pt>
                <c:pt idx="9">
                  <c:v>12603.36</c:v>
                </c:pt>
              </c:numCache>
            </c:numRef>
          </c:val>
          <c:smooth val="0"/>
          <c:extLst>
            <c:ext xmlns:c16="http://schemas.microsoft.com/office/drawing/2014/chart" uri="{C3380CC4-5D6E-409C-BE32-E72D297353CC}">
              <c16:uniqueId val="{00000001-3E86-4FA7-969C-D6AEAC46A295}"/>
            </c:ext>
          </c:extLst>
        </c:ser>
        <c:ser>
          <c:idx val="2"/>
          <c:order val="2"/>
          <c:tx>
            <c:strRef>
              <c:f>'sales by category and malls'!$D$3:$D$4</c:f>
              <c:strCache>
                <c:ptCount val="1"/>
                <c:pt idx="0">
                  <c:v>Cosmetics</c:v>
                </c:pt>
              </c:strCache>
            </c:strRef>
          </c:tx>
          <c:spPr>
            <a:ln w="28575" cap="rnd">
              <a:solidFill>
                <a:schemeClr val="accent3"/>
              </a:solidFill>
              <a:round/>
            </a:ln>
            <a:effectLst/>
          </c:spPr>
          <c:marker>
            <c:symbol val="none"/>
          </c:marker>
          <c:cat>
            <c:strRef>
              <c:f>'sales by category and malls'!$A$5:$A$15</c:f>
              <c:strCache>
                <c:ptCount val="10"/>
                <c:pt idx="0">
                  <c:v>Cevahir AVM</c:v>
                </c:pt>
                <c:pt idx="1">
                  <c:v>Emaar Square Mall</c:v>
                </c:pt>
                <c:pt idx="2">
                  <c:v>Forum Istanbul</c:v>
                </c:pt>
                <c:pt idx="3">
                  <c:v>Istinye Park</c:v>
                </c:pt>
                <c:pt idx="4">
                  <c:v>Kanyon</c:v>
                </c:pt>
                <c:pt idx="5">
                  <c:v>Mall of Istanbul</c:v>
                </c:pt>
                <c:pt idx="6">
                  <c:v>Metrocity</c:v>
                </c:pt>
                <c:pt idx="7">
                  <c:v>Metropol AVM</c:v>
                </c:pt>
                <c:pt idx="8">
                  <c:v>Viaport Outlet</c:v>
                </c:pt>
                <c:pt idx="9">
                  <c:v>Zorlu Center</c:v>
                </c:pt>
              </c:strCache>
            </c:strRef>
          </c:cat>
          <c:val>
            <c:numRef>
              <c:f>'sales by category and malls'!$D$5:$D$15</c:f>
              <c:numCache>
                <c:formatCode>General</c:formatCode>
                <c:ptCount val="10"/>
                <c:pt idx="0">
                  <c:v>1382.44</c:v>
                </c:pt>
                <c:pt idx="1">
                  <c:v>731.87999999999988</c:v>
                </c:pt>
                <c:pt idx="2">
                  <c:v>1707.72</c:v>
                </c:pt>
                <c:pt idx="3">
                  <c:v>3212.14</c:v>
                </c:pt>
                <c:pt idx="4">
                  <c:v>1829.6999999999994</c:v>
                </c:pt>
                <c:pt idx="5">
                  <c:v>6220.9799999999987</c:v>
                </c:pt>
                <c:pt idx="6">
                  <c:v>2073.66</c:v>
                </c:pt>
                <c:pt idx="7">
                  <c:v>2073.66</c:v>
                </c:pt>
                <c:pt idx="9">
                  <c:v>2073.66</c:v>
                </c:pt>
              </c:numCache>
            </c:numRef>
          </c:val>
          <c:smooth val="0"/>
          <c:extLst>
            <c:ext xmlns:c16="http://schemas.microsoft.com/office/drawing/2014/chart" uri="{C3380CC4-5D6E-409C-BE32-E72D297353CC}">
              <c16:uniqueId val="{00000002-3E86-4FA7-969C-D6AEAC46A295}"/>
            </c:ext>
          </c:extLst>
        </c:ser>
        <c:ser>
          <c:idx val="3"/>
          <c:order val="3"/>
          <c:tx>
            <c:strRef>
              <c:f>'sales by category and malls'!$E$3:$E$4</c:f>
              <c:strCache>
                <c:ptCount val="1"/>
                <c:pt idx="0">
                  <c:v>Food &amp; Beverage</c:v>
                </c:pt>
              </c:strCache>
            </c:strRef>
          </c:tx>
          <c:spPr>
            <a:ln w="28575" cap="rnd">
              <a:solidFill>
                <a:schemeClr val="accent4"/>
              </a:solidFill>
              <a:round/>
            </a:ln>
            <a:effectLst/>
          </c:spPr>
          <c:marker>
            <c:symbol val="none"/>
          </c:marker>
          <c:cat>
            <c:strRef>
              <c:f>'sales by category and malls'!$A$5:$A$15</c:f>
              <c:strCache>
                <c:ptCount val="10"/>
                <c:pt idx="0">
                  <c:v>Cevahir AVM</c:v>
                </c:pt>
                <c:pt idx="1">
                  <c:v>Emaar Square Mall</c:v>
                </c:pt>
                <c:pt idx="2">
                  <c:v>Forum Istanbul</c:v>
                </c:pt>
                <c:pt idx="3">
                  <c:v>Istinye Park</c:v>
                </c:pt>
                <c:pt idx="4">
                  <c:v>Kanyon</c:v>
                </c:pt>
                <c:pt idx="5">
                  <c:v>Mall of Istanbul</c:v>
                </c:pt>
                <c:pt idx="6">
                  <c:v>Metrocity</c:v>
                </c:pt>
                <c:pt idx="7">
                  <c:v>Metropol AVM</c:v>
                </c:pt>
                <c:pt idx="8">
                  <c:v>Viaport Outlet</c:v>
                </c:pt>
                <c:pt idx="9">
                  <c:v>Zorlu Center</c:v>
                </c:pt>
              </c:strCache>
            </c:strRef>
          </c:cat>
          <c:val>
            <c:numRef>
              <c:f>'sales by category and malls'!$E$5:$E$15</c:f>
              <c:numCache>
                <c:formatCode>General</c:formatCode>
                <c:ptCount val="10"/>
                <c:pt idx="1">
                  <c:v>5.23</c:v>
                </c:pt>
                <c:pt idx="2">
                  <c:v>52.3</c:v>
                </c:pt>
                <c:pt idx="3">
                  <c:v>224.89</c:v>
                </c:pt>
                <c:pt idx="4">
                  <c:v>413.17</c:v>
                </c:pt>
                <c:pt idx="5">
                  <c:v>549.15000000000009</c:v>
                </c:pt>
                <c:pt idx="6">
                  <c:v>397.48</c:v>
                </c:pt>
                <c:pt idx="7">
                  <c:v>104.60000000000001</c:v>
                </c:pt>
                <c:pt idx="8">
                  <c:v>10.46</c:v>
                </c:pt>
              </c:numCache>
            </c:numRef>
          </c:val>
          <c:smooth val="0"/>
          <c:extLst>
            <c:ext xmlns:c16="http://schemas.microsoft.com/office/drawing/2014/chart" uri="{C3380CC4-5D6E-409C-BE32-E72D297353CC}">
              <c16:uniqueId val="{00000003-3E86-4FA7-969C-D6AEAC46A295}"/>
            </c:ext>
          </c:extLst>
        </c:ser>
        <c:ser>
          <c:idx val="4"/>
          <c:order val="4"/>
          <c:tx>
            <c:strRef>
              <c:f>'sales by category and malls'!$F$3:$F$4</c:f>
              <c:strCache>
                <c:ptCount val="1"/>
                <c:pt idx="0">
                  <c:v>Shoes</c:v>
                </c:pt>
              </c:strCache>
            </c:strRef>
          </c:tx>
          <c:spPr>
            <a:ln w="28575" cap="rnd">
              <a:solidFill>
                <a:schemeClr val="accent5"/>
              </a:solidFill>
              <a:round/>
            </a:ln>
            <a:effectLst/>
          </c:spPr>
          <c:marker>
            <c:symbol val="none"/>
          </c:marker>
          <c:cat>
            <c:strRef>
              <c:f>'sales by category and malls'!$A$5:$A$15</c:f>
              <c:strCache>
                <c:ptCount val="10"/>
                <c:pt idx="0">
                  <c:v>Cevahir AVM</c:v>
                </c:pt>
                <c:pt idx="1">
                  <c:v>Emaar Square Mall</c:v>
                </c:pt>
                <c:pt idx="2">
                  <c:v>Forum Istanbul</c:v>
                </c:pt>
                <c:pt idx="3">
                  <c:v>Istinye Park</c:v>
                </c:pt>
                <c:pt idx="4">
                  <c:v>Kanyon</c:v>
                </c:pt>
                <c:pt idx="5">
                  <c:v>Mall of Istanbul</c:v>
                </c:pt>
                <c:pt idx="6">
                  <c:v>Metrocity</c:v>
                </c:pt>
                <c:pt idx="7">
                  <c:v>Metropol AVM</c:v>
                </c:pt>
                <c:pt idx="8">
                  <c:v>Viaport Outlet</c:v>
                </c:pt>
                <c:pt idx="9">
                  <c:v>Zorlu Center</c:v>
                </c:pt>
              </c:strCache>
            </c:strRef>
          </c:cat>
          <c:val>
            <c:numRef>
              <c:f>'sales by category and malls'!$F$5:$F$15</c:f>
              <c:numCache>
                <c:formatCode>General</c:formatCode>
                <c:ptCount val="10"/>
                <c:pt idx="1">
                  <c:v>2400.6799999999998</c:v>
                </c:pt>
                <c:pt idx="3">
                  <c:v>2400.6799999999998</c:v>
                </c:pt>
                <c:pt idx="4">
                  <c:v>8402.3799999999992</c:v>
                </c:pt>
                <c:pt idx="5">
                  <c:v>37810.71</c:v>
                </c:pt>
                <c:pt idx="6">
                  <c:v>42011.899999999994</c:v>
                </c:pt>
                <c:pt idx="7">
                  <c:v>48013.599999999999</c:v>
                </c:pt>
                <c:pt idx="8">
                  <c:v>600.16999999999996</c:v>
                </c:pt>
                <c:pt idx="9">
                  <c:v>9602.7199999999993</c:v>
                </c:pt>
              </c:numCache>
            </c:numRef>
          </c:val>
          <c:smooth val="0"/>
          <c:extLst>
            <c:ext xmlns:c16="http://schemas.microsoft.com/office/drawing/2014/chart" uri="{C3380CC4-5D6E-409C-BE32-E72D297353CC}">
              <c16:uniqueId val="{00000004-3E86-4FA7-969C-D6AEAC46A295}"/>
            </c:ext>
          </c:extLst>
        </c:ser>
        <c:ser>
          <c:idx val="5"/>
          <c:order val="5"/>
          <c:tx>
            <c:strRef>
              <c:f>'sales by category and malls'!$G$3:$G$4</c:f>
              <c:strCache>
                <c:ptCount val="1"/>
                <c:pt idx="0">
                  <c:v>Souvenir</c:v>
                </c:pt>
              </c:strCache>
            </c:strRef>
          </c:tx>
          <c:spPr>
            <a:ln w="28575" cap="rnd">
              <a:solidFill>
                <a:schemeClr val="accent6"/>
              </a:solidFill>
              <a:round/>
            </a:ln>
            <a:effectLst/>
          </c:spPr>
          <c:marker>
            <c:symbol val="none"/>
          </c:marker>
          <c:cat>
            <c:strRef>
              <c:f>'sales by category and malls'!$A$5:$A$15</c:f>
              <c:strCache>
                <c:ptCount val="10"/>
                <c:pt idx="0">
                  <c:v>Cevahir AVM</c:v>
                </c:pt>
                <c:pt idx="1">
                  <c:v>Emaar Square Mall</c:v>
                </c:pt>
                <c:pt idx="2">
                  <c:v>Forum Istanbul</c:v>
                </c:pt>
                <c:pt idx="3">
                  <c:v>Istinye Park</c:v>
                </c:pt>
                <c:pt idx="4">
                  <c:v>Kanyon</c:v>
                </c:pt>
                <c:pt idx="5">
                  <c:v>Mall of Istanbul</c:v>
                </c:pt>
                <c:pt idx="6">
                  <c:v>Metrocity</c:v>
                </c:pt>
                <c:pt idx="7">
                  <c:v>Metropol AVM</c:v>
                </c:pt>
                <c:pt idx="8">
                  <c:v>Viaport Outlet</c:v>
                </c:pt>
                <c:pt idx="9">
                  <c:v>Zorlu Center</c:v>
                </c:pt>
              </c:strCache>
            </c:strRef>
          </c:cat>
          <c:val>
            <c:numRef>
              <c:f>'sales by category and malls'!$G$5:$G$15</c:f>
              <c:numCache>
                <c:formatCode>General</c:formatCode>
                <c:ptCount val="10"/>
                <c:pt idx="0">
                  <c:v>93.84</c:v>
                </c:pt>
                <c:pt idx="1">
                  <c:v>46.92</c:v>
                </c:pt>
                <c:pt idx="2">
                  <c:v>46.92</c:v>
                </c:pt>
                <c:pt idx="3">
                  <c:v>46.92</c:v>
                </c:pt>
                <c:pt idx="4">
                  <c:v>598.23</c:v>
                </c:pt>
                <c:pt idx="5">
                  <c:v>293.25</c:v>
                </c:pt>
                <c:pt idx="6">
                  <c:v>375.36</c:v>
                </c:pt>
                <c:pt idx="7">
                  <c:v>293.25</c:v>
                </c:pt>
              </c:numCache>
            </c:numRef>
          </c:val>
          <c:smooth val="0"/>
          <c:extLst>
            <c:ext xmlns:c16="http://schemas.microsoft.com/office/drawing/2014/chart" uri="{C3380CC4-5D6E-409C-BE32-E72D297353CC}">
              <c16:uniqueId val="{00000005-3E86-4FA7-969C-D6AEAC46A295}"/>
            </c:ext>
          </c:extLst>
        </c:ser>
        <c:ser>
          <c:idx val="6"/>
          <c:order val="6"/>
          <c:tx>
            <c:strRef>
              <c:f>'sales by category and malls'!$H$3:$H$4</c:f>
              <c:strCache>
                <c:ptCount val="1"/>
                <c:pt idx="0">
                  <c:v>Technology</c:v>
                </c:pt>
              </c:strCache>
            </c:strRef>
          </c:tx>
          <c:spPr>
            <a:ln w="28575" cap="rnd">
              <a:solidFill>
                <a:schemeClr val="accent1">
                  <a:lumMod val="60000"/>
                </a:schemeClr>
              </a:solidFill>
              <a:round/>
            </a:ln>
            <a:effectLst/>
          </c:spPr>
          <c:marker>
            <c:symbol val="none"/>
          </c:marker>
          <c:cat>
            <c:strRef>
              <c:f>'sales by category and malls'!$A$5:$A$15</c:f>
              <c:strCache>
                <c:ptCount val="10"/>
                <c:pt idx="0">
                  <c:v>Cevahir AVM</c:v>
                </c:pt>
                <c:pt idx="1">
                  <c:v>Emaar Square Mall</c:v>
                </c:pt>
                <c:pt idx="2">
                  <c:v>Forum Istanbul</c:v>
                </c:pt>
                <c:pt idx="3">
                  <c:v>Istinye Park</c:v>
                </c:pt>
                <c:pt idx="4">
                  <c:v>Kanyon</c:v>
                </c:pt>
                <c:pt idx="5">
                  <c:v>Mall of Istanbul</c:v>
                </c:pt>
                <c:pt idx="6">
                  <c:v>Metrocity</c:v>
                </c:pt>
                <c:pt idx="7">
                  <c:v>Metropol AVM</c:v>
                </c:pt>
                <c:pt idx="8">
                  <c:v>Viaport Outlet</c:v>
                </c:pt>
                <c:pt idx="9">
                  <c:v>Zorlu Center</c:v>
                </c:pt>
              </c:strCache>
            </c:strRef>
          </c:cat>
          <c:val>
            <c:numRef>
              <c:f>'sales by category and malls'!$H$5:$H$15</c:f>
              <c:numCache>
                <c:formatCode>General</c:formatCode>
                <c:ptCount val="10"/>
                <c:pt idx="1">
                  <c:v>16800</c:v>
                </c:pt>
                <c:pt idx="3">
                  <c:v>21000</c:v>
                </c:pt>
                <c:pt idx="4">
                  <c:v>16800</c:v>
                </c:pt>
                <c:pt idx="5">
                  <c:v>30450</c:v>
                </c:pt>
                <c:pt idx="6">
                  <c:v>16800</c:v>
                </c:pt>
                <c:pt idx="7">
                  <c:v>1050</c:v>
                </c:pt>
                <c:pt idx="9">
                  <c:v>27300</c:v>
                </c:pt>
              </c:numCache>
            </c:numRef>
          </c:val>
          <c:smooth val="0"/>
          <c:extLst>
            <c:ext xmlns:c16="http://schemas.microsoft.com/office/drawing/2014/chart" uri="{C3380CC4-5D6E-409C-BE32-E72D297353CC}">
              <c16:uniqueId val="{00000006-3E86-4FA7-969C-D6AEAC46A295}"/>
            </c:ext>
          </c:extLst>
        </c:ser>
        <c:ser>
          <c:idx val="7"/>
          <c:order val="7"/>
          <c:tx>
            <c:strRef>
              <c:f>'sales by category and malls'!$I$3:$I$4</c:f>
              <c:strCache>
                <c:ptCount val="1"/>
                <c:pt idx="0">
                  <c:v>Toys</c:v>
                </c:pt>
              </c:strCache>
            </c:strRef>
          </c:tx>
          <c:spPr>
            <a:ln w="28575" cap="rnd">
              <a:solidFill>
                <a:schemeClr val="accent2">
                  <a:lumMod val="60000"/>
                </a:schemeClr>
              </a:solidFill>
              <a:round/>
            </a:ln>
            <a:effectLst/>
          </c:spPr>
          <c:marker>
            <c:symbol val="none"/>
          </c:marker>
          <c:cat>
            <c:strRef>
              <c:f>'sales by category and malls'!$A$5:$A$15</c:f>
              <c:strCache>
                <c:ptCount val="10"/>
                <c:pt idx="0">
                  <c:v>Cevahir AVM</c:v>
                </c:pt>
                <c:pt idx="1">
                  <c:v>Emaar Square Mall</c:v>
                </c:pt>
                <c:pt idx="2">
                  <c:v>Forum Istanbul</c:v>
                </c:pt>
                <c:pt idx="3">
                  <c:v>Istinye Park</c:v>
                </c:pt>
                <c:pt idx="4">
                  <c:v>Kanyon</c:v>
                </c:pt>
                <c:pt idx="5">
                  <c:v>Mall of Istanbul</c:v>
                </c:pt>
                <c:pt idx="6">
                  <c:v>Metrocity</c:v>
                </c:pt>
                <c:pt idx="7">
                  <c:v>Metropol AVM</c:v>
                </c:pt>
                <c:pt idx="8">
                  <c:v>Viaport Outlet</c:v>
                </c:pt>
                <c:pt idx="9">
                  <c:v>Zorlu Center</c:v>
                </c:pt>
              </c:strCache>
            </c:strRef>
          </c:cat>
          <c:val>
            <c:numRef>
              <c:f>'sales by category and malls'!$I$5:$I$15</c:f>
              <c:numCache>
                <c:formatCode>General</c:formatCode>
                <c:ptCount val="10"/>
                <c:pt idx="0">
                  <c:v>573.44000000000005</c:v>
                </c:pt>
                <c:pt idx="1">
                  <c:v>645.12</c:v>
                </c:pt>
                <c:pt idx="2">
                  <c:v>322.56</c:v>
                </c:pt>
                <c:pt idx="3">
                  <c:v>931.84</c:v>
                </c:pt>
                <c:pt idx="4">
                  <c:v>143.36000000000001</c:v>
                </c:pt>
                <c:pt idx="5">
                  <c:v>931.84</c:v>
                </c:pt>
                <c:pt idx="6">
                  <c:v>1361.92</c:v>
                </c:pt>
                <c:pt idx="7">
                  <c:v>143.36000000000001</c:v>
                </c:pt>
                <c:pt idx="8">
                  <c:v>35.840000000000003</c:v>
                </c:pt>
              </c:numCache>
            </c:numRef>
          </c:val>
          <c:smooth val="0"/>
          <c:extLst>
            <c:ext xmlns:c16="http://schemas.microsoft.com/office/drawing/2014/chart" uri="{C3380CC4-5D6E-409C-BE32-E72D297353CC}">
              <c16:uniqueId val="{00000007-3E86-4FA7-969C-D6AEAC46A295}"/>
            </c:ext>
          </c:extLst>
        </c:ser>
        <c:dLbls>
          <c:showLegendKey val="0"/>
          <c:showVal val="0"/>
          <c:showCatName val="0"/>
          <c:showSerName val="0"/>
          <c:showPercent val="0"/>
          <c:showBubbleSize val="0"/>
        </c:dLbls>
        <c:smooth val="0"/>
        <c:axId val="1246355600"/>
        <c:axId val="1185266063"/>
      </c:lineChart>
      <c:catAx>
        <c:axId val="124635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5266063"/>
        <c:crosses val="autoZero"/>
        <c:auto val="1"/>
        <c:lblAlgn val="ctr"/>
        <c:lblOffset val="100"/>
        <c:noMultiLvlLbl val="0"/>
      </c:catAx>
      <c:valAx>
        <c:axId val="1185266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6355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[customer_shopping_data.xlsm]demographic factor !PivotTable3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240157480314964E-2"/>
          <c:y val="0.22120151647710704"/>
          <c:w val="0.72298206474190729"/>
          <c:h val="0.44729877515310584"/>
        </c:manualLayout>
      </c:layout>
      <c:barChart>
        <c:barDir val="col"/>
        <c:grouping val="stacked"/>
        <c:varyColors val="0"/>
        <c:ser>
          <c:idx val="0"/>
          <c:order val="0"/>
          <c:tx>
            <c:strRef>
              <c:f>'demographic factor '!$B$1:$B$2</c:f>
              <c:strCache>
                <c:ptCount val="1"/>
                <c:pt idx="0">
                  <c:v>18-24</c:v>
                </c:pt>
              </c:strCache>
            </c:strRef>
          </c:tx>
          <c:spPr>
            <a:solidFill>
              <a:schemeClr val="accent1"/>
            </a:solidFill>
            <a:ln>
              <a:noFill/>
            </a:ln>
            <a:effectLst/>
          </c:spPr>
          <c:invertIfNegative val="0"/>
          <c:cat>
            <c:strRef>
              <c:f>'demographic factor '!$A$3:$A$13</c:f>
              <c:strCache>
                <c:ptCount val="10"/>
                <c:pt idx="0">
                  <c:v>Zorlu Center</c:v>
                </c:pt>
                <c:pt idx="1">
                  <c:v>Viaport Outlet</c:v>
                </c:pt>
                <c:pt idx="2">
                  <c:v>Metropol AVM</c:v>
                </c:pt>
                <c:pt idx="3">
                  <c:v>Metrocity</c:v>
                </c:pt>
                <c:pt idx="4">
                  <c:v>Mall of Istanbul</c:v>
                </c:pt>
                <c:pt idx="5">
                  <c:v>Kanyon</c:v>
                </c:pt>
                <c:pt idx="6">
                  <c:v>Istinye Park</c:v>
                </c:pt>
                <c:pt idx="7">
                  <c:v>Forum Istanbul</c:v>
                </c:pt>
                <c:pt idx="8">
                  <c:v>Emaar Square Mall</c:v>
                </c:pt>
                <c:pt idx="9">
                  <c:v>Cevahir AVM</c:v>
                </c:pt>
              </c:strCache>
            </c:strRef>
          </c:cat>
          <c:val>
            <c:numRef>
              <c:f>'demographic factor '!$B$3:$B$13</c:f>
              <c:numCache>
                <c:formatCode>General</c:formatCode>
                <c:ptCount val="10"/>
                <c:pt idx="0">
                  <c:v>2</c:v>
                </c:pt>
                <c:pt idx="2">
                  <c:v>4</c:v>
                </c:pt>
                <c:pt idx="3">
                  <c:v>4</c:v>
                </c:pt>
                <c:pt idx="4">
                  <c:v>7</c:v>
                </c:pt>
                <c:pt idx="5">
                  <c:v>8</c:v>
                </c:pt>
                <c:pt idx="6">
                  <c:v>3</c:v>
                </c:pt>
                <c:pt idx="8">
                  <c:v>2</c:v>
                </c:pt>
                <c:pt idx="9">
                  <c:v>1</c:v>
                </c:pt>
              </c:numCache>
            </c:numRef>
          </c:val>
          <c:extLst>
            <c:ext xmlns:c16="http://schemas.microsoft.com/office/drawing/2014/chart" uri="{C3380CC4-5D6E-409C-BE32-E72D297353CC}">
              <c16:uniqueId val="{00000000-329A-4A5D-9A26-4947714A80DA}"/>
            </c:ext>
          </c:extLst>
        </c:ser>
        <c:ser>
          <c:idx val="1"/>
          <c:order val="1"/>
          <c:tx>
            <c:strRef>
              <c:f>'demographic factor '!$C$1:$C$2</c:f>
              <c:strCache>
                <c:ptCount val="1"/>
                <c:pt idx="0">
                  <c:v>25-34</c:v>
                </c:pt>
              </c:strCache>
            </c:strRef>
          </c:tx>
          <c:spPr>
            <a:solidFill>
              <a:schemeClr val="accent2"/>
            </a:solidFill>
            <a:ln>
              <a:noFill/>
            </a:ln>
            <a:effectLst/>
          </c:spPr>
          <c:invertIfNegative val="0"/>
          <c:cat>
            <c:strRef>
              <c:f>'demographic factor '!$A$3:$A$13</c:f>
              <c:strCache>
                <c:ptCount val="10"/>
                <c:pt idx="0">
                  <c:v>Zorlu Center</c:v>
                </c:pt>
                <c:pt idx="1">
                  <c:v>Viaport Outlet</c:v>
                </c:pt>
                <c:pt idx="2">
                  <c:v>Metropol AVM</c:v>
                </c:pt>
                <c:pt idx="3">
                  <c:v>Metrocity</c:v>
                </c:pt>
                <c:pt idx="4">
                  <c:v>Mall of Istanbul</c:v>
                </c:pt>
                <c:pt idx="5">
                  <c:v>Kanyon</c:v>
                </c:pt>
                <c:pt idx="6">
                  <c:v>Istinye Park</c:v>
                </c:pt>
                <c:pt idx="7">
                  <c:v>Forum Istanbul</c:v>
                </c:pt>
                <c:pt idx="8">
                  <c:v>Emaar Square Mall</c:v>
                </c:pt>
                <c:pt idx="9">
                  <c:v>Cevahir AVM</c:v>
                </c:pt>
              </c:strCache>
            </c:strRef>
          </c:cat>
          <c:val>
            <c:numRef>
              <c:f>'demographic factor '!$C$3:$C$13</c:f>
              <c:numCache>
                <c:formatCode>General</c:formatCode>
                <c:ptCount val="10"/>
                <c:pt idx="1">
                  <c:v>2</c:v>
                </c:pt>
                <c:pt idx="2">
                  <c:v>7</c:v>
                </c:pt>
                <c:pt idx="3">
                  <c:v>8</c:v>
                </c:pt>
                <c:pt idx="4">
                  <c:v>8</c:v>
                </c:pt>
                <c:pt idx="5">
                  <c:v>9</c:v>
                </c:pt>
                <c:pt idx="6">
                  <c:v>6</c:v>
                </c:pt>
                <c:pt idx="7">
                  <c:v>4</c:v>
                </c:pt>
                <c:pt idx="8">
                  <c:v>3</c:v>
                </c:pt>
                <c:pt idx="9">
                  <c:v>1</c:v>
                </c:pt>
              </c:numCache>
            </c:numRef>
          </c:val>
          <c:extLst>
            <c:ext xmlns:c16="http://schemas.microsoft.com/office/drawing/2014/chart" uri="{C3380CC4-5D6E-409C-BE32-E72D297353CC}">
              <c16:uniqueId val="{00000001-329A-4A5D-9A26-4947714A80DA}"/>
            </c:ext>
          </c:extLst>
        </c:ser>
        <c:ser>
          <c:idx val="2"/>
          <c:order val="2"/>
          <c:tx>
            <c:strRef>
              <c:f>'demographic factor '!$D$1:$D$2</c:f>
              <c:strCache>
                <c:ptCount val="1"/>
                <c:pt idx="0">
                  <c:v>35-44</c:v>
                </c:pt>
              </c:strCache>
            </c:strRef>
          </c:tx>
          <c:spPr>
            <a:solidFill>
              <a:schemeClr val="accent3"/>
            </a:solidFill>
            <a:ln>
              <a:noFill/>
            </a:ln>
            <a:effectLst/>
          </c:spPr>
          <c:invertIfNegative val="0"/>
          <c:cat>
            <c:strRef>
              <c:f>'demographic factor '!$A$3:$A$13</c:f>
              <c:strCache>
                <c:ptCount val="10"/>
                <c:pt idx="0">
                  <c:v>Zorlu Center</c:v>
                </c:pt>
                <c:pt idx="1">
                  <c:v>Viaport Outlet</c:v>
                </c:pt>
                <c:pt idx="2">
                  <c:v>Metropol AVM</c:v>
                </c:pt>
                <c:pt idx="3">
                  <c:v>Metrocity</c:v>
                </c:pt>
                <c:pt idx="4">
                  <c:v>Mall of Istanbul</c:v>
                </c:pt>
                <c:pt idx="5">
                  <c:v>Kanyon</c:v>
                </c:pt>
                <c:pt idx="6">
                  <c:v>Istinye Park</c:v>
                </c:pt>
                <c:pt idx="7">
                  <c:v>Forum Istanbul</c:v>
                </c:pt>
                <c:pt idx="8">
                  <c:v>Emaar Square Mall</c:v>
                </c:pt>
                <c:pt idx="9">
                  <c:v>Cevahir AVM</c:v>
                </c:pt>
              </c:strCache>
            </c:strRef>
          </c:cat>
          <c:val>
            <c:numRef>
              <c:f>'demographic factor '!$D$3:$D$13</c:f>
              <c:numCache>
                <c:formatCode>General</c:formatCode>
                <c:ptCount val="10"/>
                <c:pt idx="0">
                  <c:v>4</c:v>
                </c:pt>
                <c:pt idx="1">
                  <c:v>4</c:v>
                </c:pt>
                <c:pt idx="2">
                  <c:v>5</c:v>
                </c:pt>
                <c:pt idx="3">
                  <c:v>7</c:v>
                </c:pt>
                <c:pt idx="4">
                  <c:v>8</c:v>
                </c:pt>
                <c:pt idx="5">
                  <c:v>11</c:v>
                </c:pt>
                <c:pt idx="6">
                  <c:v>5</c:v>
                </c:pt>
                <c:pt idx="7">
                  <c:v>1</c:v>
                </c:pt>
                <c:pt idx="8">
                  <c:v>4</c:v>
                </c:pt>
                <c:pt idx="9">
                  <c:v>3</c:v>
                </c:pt>
              </c:numCache>
            </c:numRef>
          </c:val>
          <c:extLst>
            <c:ext xmlns:c16="http://schemas.microsoft.com/office/drawing/2014/chart" uri="{C3380CC4-5D6E-409C-BE32-E72D297353CC}">
              <c16:uniqueId val="{00000002-329A-4A5D-9A26-4947714A80DA}"/>
            </c:ext>
          </c:extLst>
        </c:ser>
        <c:ser>
          <c:idx val="3"/>
          <c:order val="3"/>
          <c:tx>
            <c:strRef>
              <c:f>'demographic factor '!$E$1:$E$2</c:f>
              <c:strCache>
                <c:ptCount val="1"/>
                <c:pt idx="0">
                  <c:v>45-54</c:v>
                </c:pt>
              </c:strCache>
            </c:strRef>
          </c:tx>
          <c:spPr>
            <a:solidFill>
              <a:schemeClr val="accent4"/>
            </a:solidFill>
            <a:ln>
              <a:noFill/>
            </a:ln>
            <a:effectLst/>
          </c:spPr>
          <c:invertIfNegative val="0"/>
          <c:cat>
            <c:strRef>
              <c:f>'demographic factor '!$A$3:$A$13</c:f>
              <c:strCache>
                <c:ptCount val="10"/>
                <c:pt idx="0">
                  <c:v>Zorlu Center</c:v>
                </c:pt>
                <c:pt idx="1">
                  <c:v>Viaport Outlet</c:v>
                </c:pt>
                <c:pt idx="2">
                  <c:v>Metropol AVM</c:v>
                </c:pt>
                <c:pt idx="3">
                  <c:v>Metrocity</c:v>
                </c:pt>
                <c:pt idx="4">
                  <c:v>Mall of Istanbul</c:v>
                </c:pt>
                <c:pt idx="5">
                  <c:v>Kanyon</c:v>
                </c:pt>
                <c:pt idx="6">
                  <c:v>Istinye Park</c:v>
                </c:pt>
                <c:pt idx="7">
                  <c:v>Forum Istanbul</c:v>
                </c:pt>
                <c:pt idx="8">
                  <c:v>Emaar Square Mall</c:v>
                </c:pt>
                <c:pt idx="9">
                  <c:v>Cevahir AVM</c:v>
                </c:pt>
              </c:strCache>
            </c:strRef>
          </c:cat>
          <c:val>
            <c:numRef>
              <c:f>'demographic factor '!$E$3:$E$13</c:f>
              <c:numCache>
                <c:formatCode>General</c:formatCode>
                <c:ptCount val="10"/>
                <c:pt idx="0">
                  <c:v>3</c:v>
                </c:pt>
                <c:pt idx="1">
                  <c:v>1</c:v>
                </c:pt>
                <c:pt idx="2">
                  <c:v>6</c:v>
                </c:pt>
                <c:pt idx="3">
                  <c:v>5</c:v>
                </c:pt>
                <c:pt idx="4">
                  <c:v>10</c:v>
                </c:pt>
                <c:pt idx="5">
                  <c:v>11</c:v>
                </c:pt>
                <c:pt idx="6">
                  <c:v>10</c:v>
                </c:pt>
                <c:pt idx="7">
                  <c:v>2</c:v>
                </c:pt>
                <c:pt idx="8">
                  <c:v>2</c:v>
                </c:pt>
                <c:pt idx="9">
                  <c:v>1</c:v>
                </c:pt>
              </c:numCache>
            </c:numRef>
          </c:val>
          <c:extLst>
            <c:ext xmlns:c16="http://schemas.microsoft.com/office/drawing/2014/chart" uri="{C3380CC4-5D6E-409C-BE32-E72D297353CC}">
              <c16:uniqueId val="{00000003-329A-4A5D-9A26-4947714A80DA}"/>
            </c:ext>
          </c:extLst>
        </c:ser>
        <c:ser>
          <c:idx val="4"/>
          <c:order val="4"/>
          <c:tx>
            <c:strRef>
              <c:f>'demographic factor '!$F$1:$F$2</c:f>
              <c:strCache>
                <c:ptCount val="1"/>
                <c:pt idx="0">
                  <c:v>55-64</c:v>
                </c:pt>
              </c:strCache>
            </c:strRef>
          </c:tx>
          <c:spPr>
            <a:solidFill>
              <a:schemeClr val="accent5"/>
            </a:solidFill>
            <a:ln>
              <a:noFill/>
            </a:ln>
            <a:effectLst/>
          </c:spPr>
          <c:invertIfNegative val="0"/>
          <c:cat>
            <c:strRef>
              <c:f>'demographic factor '!$A$3:$A$13</c:f>
              <c:strCache>
                <c:ptCount val="10"/>
                <c:pt idx="0">
                  <c:v>Zorlu Center</c:v>
                </c:pt>
                <c:pt idx="1">
                  <c:v>Viaport Outlet</c:v>
                </c:pt>
                <c:pt idx="2">
                  <c:v>Metropol AVM</c:v>
                </c:pt>
                <c:pt idx="3">
                  <c:v>Metrocity</c:v>
                </c:pt>
                <c:pt idx="4">
                  <c:v>Mall of Istanbul</c:v>
                </c:pt>
                <c:pt idx="5">
                  <c:v>Kanyon</c:v>
                </c:pt>
                <c:pt idx="6">
                  <c:v>Istinye Park</c:v>
                </c:pt>
                <c:pt idx="7">
                  <c:v>Forum Istanbul</c:v>
                </c:pt>
                <c:pt idx="8">
                  <c:v>Emaar Square Mall</c:v>
                </c:pt>
                <c:pt idx="9">
                  <c:v>Cevahir AVM</c:v>
                </c:pt>
              </c:strCache>
            </c:strRef>
          </c:cat>
          <c:val>
            <c:numRef>
              <c:f>'demographic factor '!$F$3:$F$13</c:f>
              <c:numCache>
                <c:formatCode>General</c:formatCode>
                <c:ptCount val="10"/>
                <c:pt idx="0">
                  <c:v>1</c:v>
                </c:pt>
                <c:pt idx="1">
                  <c:v>2</c:v>
                </c:pt>
                <c:pt idx="2">
                  <c:v>3</c:v>
                </c:pt>
                <c:pt idx="3">
                  <c:v>10</c:v>
                </c:pt>
                <c:pt idx="4">
                  <c:v>11</c:v>
                </c:pt>
                <c:pt idx="5">
                  <c:v>7</c:v>
                </c:pt>
                <c:pt idx="6">
                  <c:v>3</c:v>
                </c:pt>
                <c:pt idx="7">
                  <c:v>2</c:v>
                </c:pt>
                <c:pt idx="8">
                  <c:v>2</c:v>
                </c:pt>
              </c:numCache>
            </c:numRef>
          </c:val>
          <c:extLst>
            <c:ext xmlns:c16="http://schemas.microsoft.com/office/drawing/2014/chart" uri="{C3380CC4-5D6E-409C-BE32-E72D297353CC}">
              <c16:uniqueId val="{00000004-329A-4A5D-9A26-4947714A80DA}"/>
            </c:ext>
          </c:extLst>
        </c:ser>
        <c:ser>
          <c:idx val="5"/>
          <c:order val="5"/>
          <c:tx>
            <c:strRef>
              <c:f>'demographic factor '!$G$1:$G$2</c:f>
              <c:strCache>
                <c:ptCount val="1"/>
                <c:pt idx="0">
                  <c:v>65-69</c:v>
                </c:pt>
              </c:strCache>
            </c:strRef>
          </c:tx>
          <c:spPr>
            <a:solidFill>
              <a:schemeClr val="accent6"/>
            </a:solidFill>
            <a:ln>
              <a:noFill/>
            </a:ln>
            <a:effectLst/>
          </c:spPr>
          <c:invertIfNegative val="0"/>
          <c:cat>
            <c:strRef>
              <c:f>'demographic factor '!$A$3:$A$13</c:f>
              <c:strCache>
                <c:ptCount val="10"/>
                <c:pt idx="0">
                  <c:v>Zorlu Center</c:v>
                </c:pt>
                <c:pt idx="1">
                  <c:v>Viaport Outlet</c:v>
                </c:pt>
                <c:pt idx="2">
                  <c:v>Metropol AVM</c:v>
                </c:pt>
                <c:pt idx="3">
                  <c:v>Metrocity</c:v>
                </c:pt>
                <c:pt idx="4">
                  <c:v>Mall of Istanbul</c:v>
                </c:pt>
                <c:pt idx="5">
                  <c:v>Kanyon</c:v>
                </c:pt>
                <c:pt idx="6">
                  <c:v>Istinye Park</c:v>
                </c:pt>
                <c:pt idx="7">
                  <c:v>Forum Istanbul</c:v>
                </c:pt>
                <c:pt idx="8">
                  <c:v>Emaar Square Mall</c:v>
                </c:pt>
                <c:pt idx="9">
                  <c:v>Cevahir AVM</c:v>
                </c:pt>
              </c:strCache>
            </c:strRef>
          </c:cat>
          <c:val>
            <c:numRef>
              <c:f>'demographic factor '!$G$3:$G$13</c:f>
              <c:numCache>
                <c:formatCode>General</c:formatCode>
                <c:ptCount val="10"/>
                <c:pt idx="2">
                  <c:v>4</c:v>
                </c:pt>
                <c:pt idx="3">
                  <c:v>4</c:v>
                </c:pt>
                <c:pt idx="4">
                  <c:v>5</c:v>
                </c:pt>
                <c:pt idx="5">
                  <c:v>6</c:v>
                </c:pt>
                <c:pt idx="6">
                  <c:v>2</c:v>
                </c:pt>
                <c:pt idx="8">
                  <c:v>4</c:v>
                </c:pt>
                <c:pt idx="9">
                  <c:v>1</c:v>
                </c:pt>
              </c:numCache>
            </c:numRef>
          </c:val>
          <c:extLst>
            <c:ext xmlns:c16="http://schemas.microsoft.com/office/drawing/2014/chart" uri="{C3380CC4-5D6E-409C-BE32-E72D297353CC}">
              <c16:uniqueId val="{00000005-329A-4A5D-9A26-4947714A80DA}"/>
            </c:ext>
          </c:extLst>
        </c:ser>
        <c:dLbls>
          <c:showLegendKey val="0"/>
          <c:showVal val="0"/>
          <c:showCatName val="0"/>
          <c:showSerName val="0"/>
          <c:showPercent val="0"/>
          <c:showBubbleSize val="0"/>
        </c:dLbls>
        <c:gapWidth val="219"/>
        <c:overlap val="100"/>
        <c:axId val="826943952"/>
        <c:axId val="819986880"/>
      </c:barChart>
      <c:catAx>
        <c:axId val="826943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9986880"/>
        <c:crosses val="autoZero"/>
        <c:auto val="1"/>
        <c:lblAlgn val="ctr"/>
        <c:lblOffset val="100"/>
        <c:noMultiLvlLbl val="0"/>
      </c:catAx>
      <c:valAx>
        <c:axId val="819986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943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[customer_shopping_data.xlsm]monthly trend!PivotTable4</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trend'!$B$1:$B$2</c:f>
              <c:strCache>
                <c:ptCount val="1"/>
                <c:pt idx="0">
                  <c:v>Jan</c:v>
                </c:pt>
              </c:strCache>
            </c:strRef>
          </c:tx>
          <c:spPr>
            <a:ln w="28575" cap="rnd">
              <a:solidFill>
                <a:schemeClr val="accent1"/>
              </a:solidFill>
              <a:round/>
            </a:ln>
            <a:effectLst/>
          </c:spPr>
          <c:marker>
            <c:symbol val="none"/>
          </c:marker>
          <c:cat>
            <c:strRef>
              <c:f>'monthly trend'!$A$3:$A$11</c:f>
              <c:strCache>
                <c:ptCount val="8"/>
                <c:pt idx="0">
                  <c:v>Books</c:v>
                </c:pt>
                <c:pt idx="1">
                  <c:v>Clothing</c:v>
                </c:pt>
                <c:pt idx="2">
                  <c:v>Cosmetics</c:v>
                </c:pt>
                <c:pt idx="3">
                  <c:v>Food &amp; Beverage</c:v>
                </c:pt>
                <c:pt idx="4">
                  <c:v>Shoes</c:v>
                </c:pt>
                <c:pt idx="5">
                  <c:v>Souvenir</c:v>
                </c:pt>
                <c:pt idx="6">
                  <c:v>Technology</c:v>
                </c:pt>
                <c:pt idx="7">
                  <c:v>Toys</c:v>
                </c:pt>
              </c:strCache>
            </c:strRef>
          </c:cat>
          <c:val>
            <c:numRef>
              <c:f>'monthly trend'!$B$3:$B$11</c:f>
              <c:numCache>
                <c:formatCode>General</c:formatCode>
                <c:ptCount val="8"/>
                <c:pt idx="0">
                  <c:v>1818</c:v>
                </c:pt>
                <c:pt idx="1">
                  <c:v>130534.80000000002</c:v>
                </c:pt>
                <c:pt idx="2">
                  <c:v>7562.7599999999984</c:v>
                </c:pt>
                <c:pt idx="3">
                  <c:v>1004.1600000000001</c:v>
                </c:pt>
                <c:pt idx="4">
                  <c:v>103229.23999999999</c:v>
                </c:pt>
                <c:pt idx="5">
                  <c:v>539.57999999999993</c:v>
                </c:pt>
                <c:pt idx="6">
                  <c:v>65100</c:v>
                </c:pt>
                <c:pt idx="7">
                  <c:v>2329.6</c:v>
                </c:pt>
              </c:numCache>
            </c:numRef>
          </c:val>
          <c:smooth val="0"/>
          <c:extLst>
            <c:ext xmlns:c16="http://schemas.microsoft.com/office/drawing/2014/chart" uri="{C3380CC4-5D6E-409C-BE32-E72D297353CC}">
              <c16:uniqueId val="{00000000-22B4-4D11-A89D-6EB57C92956F}"/>
            </c:ext>
          </c:extLst>
        </c:ser>
        <c:ser>
          <c:idx val="1"/>
          <c:order val="1"/>
          <c:tx>
            <c:strRef>
              <c:f>'monthly trend'!$C$1:$C$2</c:f>
              <c:strCache>
                <c:ptCount val="1"/>
                <c:pt idx="0">
                  <c:v>Feb</c:v>
                </c:pt>
              </c:strCache>
            </c:strRef>
          </c:tx>
          <c:spPr>
            <a:ln w="28575" cap="rnd">
              <a:solidFill>
                <a:schemeClr val="accent2"/>
              </a:solidFill>
              <a:round/>
            </a:ln>
            <a:effectLst/>
          </c:spPr>
          <c:marker>
            <c:symbol val="none"/>
          </c:marker>
          <c:cat>
            <c:strRef>
              <c:f>'monthly trend'!$A$3:$A$11</c:f>
              <c:strCache>
                <c:ptCount val="8"/>
                <c:pt idx="0">
                  <c:v>Books</c:v>
                </c:pt>
                <c:pt idx="1">
                  <c:v>Clothing</c:v>
                </c:pt>
                <c:pt idx="2">
                  <c:v>Cosmetics</c:v>
                </c:pt>
                <c:pt idx="3">
                  <c:v>Food &amp; Beverage</c:v>
                </c:pt>
                <c:pt idx="4">
                  <c:v>Shoes</c:v>
                </c:pt>
                <c:pt idx="5">
                  <c:v>Souvenir</c:v>
                </c:pt>
                <c:pt idx="6">
                  <c:v>Technology</c:v>
                </c:pt>
                <c:pt idx="7">
                  <c:v>Toys</c:v>
                </c:pt>
              </c:strCache>
            </c:strRef>
          </c:cat>
          <c:val>
            <c:numRef>
              <c:f>'monthly trend'!$C$3:$C$11</c:f>
              <c:numCache>
                <c:formatCode>General</c:formatCode>
                <c:ptCount val="8"/>
                <c:pt idx="0">
                  <c:v>1151.4000000000001</c:v>
                </c:pt>
                <c:pt idx="1">
                  <c:v>120632.16000000008</c:v>
                </c:pt>
                <c:pt idx="2">
                  <c:v>11181.5</c:v>
                </c:pt>
                <c:pt idx="3">
                  <c:v>742.6600000000002</c:v>
                </c:pt>
                <c:pt idx="4">
                  <c:v>45612.92</c:v>
                </c:pt>
                <c:pt idx="5">
                  <c:v>539.57999999999993</c:v>
                </c:pt>
                <c:pt idx="6">
                  <c:v>48300</c:v>
                </c:pt>
                <c:pt idx="7">
                  <c:v>2042.8799999999999</c:v>
                </c:pt>
              </c:numCache>
            </c:numRef>
          </c:val>
          <c:smooth val="0"/>
          <c:extLst>
            <c:ext xmlns:c16="http://schemas.microsoft.com/office/drawing/2014/chart" uri="{C3380CC4-5D6E-409C-BE32-E72D297353CC}">
              <c16:uniqueId val="{00000001-538C-42BA-A636-83E051360608}"/>
            </c:ext>
          </c:extLst>
        </c:ser>
        <c:ser>
          <c:idx val="2"/>
          <c:order val="2"/>
          <c:tx>
            <c:strRef>
              <c:f>'monthly trend'!$D$1:$D$2</c:f>
              <c:strCache>
                <c:ptCount val="1"/>
                <c:pt idx="0">
                  <c:v>Mar</c:v>
                </c:pt>
              </c:strCache>
            </c:strRef>
          </c:tx>
          <c:spPr>
            <a:ln w="28575" cap="rnd">
              <a:solidFill>
                <a:schemeClr val="accent3"/>
              </a:solidFill>
              <a:round/>
            </a:ln>
            <a:effectLst/>
          </c:spPr>
          <c:marker>
            <c:symbol val="none"/>
          </c:marker>
          <c:cat>
            <c:strRef>
              <c:f>'monthly trend'!$A$3:$A$11</c:f>
              <c:strCache>
                <c:ptCount val="8"/>
                <c:pt idx="0">
                  <c:v>Books</c:v>
                </c:pt>
                <c:pt idx="1">
                  <c:v>Clothing</c:v>
                </c:pt>
                <c:pt idx="2">
                  <c:v>Cosmetics</c:v>
                </c:pt>
                <c:pt idx="3">
                  <c:v>Food &amp; Beverage</c:v>
                </c:pt>
                <c:pt idx="4">
                  <c:v>Shoes</c:v>
                </c:pt>
                <c:pt idx="5">
                  <c:v>Souvenir</c:v>
                </c:pt>
                <c:pt idx="6">
                  <c:v>Technology</c:v>
                </c:pt>
                <c:pt idx="7">
                  <c:v>Toys</c:v>
                </c:pt>
              </c:strCache>
            </c:strRef>
          </c:cat>
          <c:val>
            <c:numRef>
              <c:f>'monthly trend'!$D$3:$D$11</c:f>
              <c:numCache>
                <c:formatCode>General</c:formatCode>
                <c:ptCount val="8"/>
                <c:pt idx="0">
                  <c:v>60.6</c:v>
                </c:pt>
                <c:pt idx="1">
                  <c:v>41110.960000000006</c:v>
                </c:pt>
                <c:pt idx="2">
                  <c:v>2561.5799999999995</c:v>
                </c:pt>
                <c:pt idx="3">
                  <c:v>10.46</c:v>
                </c:pt>
                <c:pt idx="4">
                  <c:v>2400.6799999999998</c:v>
                </c:pt>
                <c:pt idx="5">
                  <c:v>715.53</c:v>
                </c:pt>
                <c:pt idx="6">
                  <c:v>16800</c:v>
                </c:pt>
                <c:pt idx="7">
                  <c:v>716.80000000000007</c:v>
                </c:pt>
              </c:numCache>
            </c:numRef>
          </c:val>
          <c:smooth val="0"/>
          <c:extLst>
            <c:ext xmlns:c16="http://schemas.microsoft.com/office/drawing/2014/chart" uri="{C3380CC4-5D6E-409C-BE32-E72D297353CC}">
              <c16:uniqueId val="{00000002-538C-42BA-A636-83E051360608}"/>
            </c:ext>
          </c:extLst>
        </c:ser>
        <c:dLbls>
          <c:showLegendKey val="0"/>
          <c:showVal val="0"/>
          <c:showCatName val="0"/>
          <c:showSerName val="0"/>
          <c:showPercent val="0"/>
          <c:showBubbleSize val="0"/>
        </c:dLbls>
        <c:smooth val="0"/>
        <c:axId val="826944432"/>
        <c:axId val="817070336"/>
      </c:lineChart>
      <c:catAx>
        <c:axId val="826944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070336"/>
        <c:crosses val="autoZero"/>
        <c:auto val="1"/>
        <c:lblAlgn val="ctr"/>
        <c:lblOffset val="100"/>
        <c:noMultiLvlLbl val="0"/>
      </c:catAx>
      <c:valAx>
        <c:axId val="817070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944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[customer_shopping_data.xlsm]payment trends!PivotTable5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'payment trends'!$B$1:$B$2</c:f>
              <c:strCache>
                <c:ptCount val="1"/>
                <c:pt idx="0">
                  <c:v>25-34</c:v>
                </c:pt>
              </c:strCache>
            </c:strRef>
          </c:tx>
          <c:spPr>
            <a:solidFill>
              <a:schemeClr val="accent1"/>
            </a:solidFill>
            <a:ln>
              <a:noFill/>
            </a:ln>
            <a:effectLst/>
          </c:spPr>
          <c:invertIfNegative val="0"/>
          <c:cat>
            <c:strRef>
              <c:f>'payment trends'!$A$3:$A$6</c:f>
              <c:strCache>
                <c:ptCount val="3"/>
                <c:pt idx="0">
                  <c:v>Cash</c:v>
                </c:pt>
                <c:pt idx="1">
                  <c:v>Credit Card</c:v>
                </c:pt>
                <c:pt idx="2">
                  <c:v>Debit Card</c:v>
                </c:pt>
              </c:strCache>
            </c:strRef>
          </c:cat>
          <c:val>
            <c:numRef>
              <c:f>'payment trends'!$B$3:$B$6</c:f>
              <c:numCache>
                <c:formatCode>General</c:formatCode>
                <c:ptCount val="3"/>
                <c:pt idx="0">
                  <c:v>20</c:v>
                </c:pt>
                <c:pt idx="1">
                  <c:v>17</c:v>
                </c:pt>
                <c:pt idx="2">
                  <c:v>11</c:v>
                </c:pt>
              </c:numCache>
            </c:numRef>
          </c:val>
          <c:extLst>
            <c:ext xmlns:c16="http://schemas.microsoft.com/office/drawing/2014/chart" uri="{C3380CC4-5D6E-409C-BE32-E72D297353CC}">
              <c16:uniqueId val="{00000000-4452-49BF-950E-0269F9723B02}"/>
            </c:ext>
          </c:extLst>
        </c:ser>
        <c:dLbls>
          <c:showLegendKey val="0"/>
          <c:showVal val="0"/>
          <c:showCatName val="0"/>
          <c:showSerName val="0"/>
          <c:showPercent val="0"/>
          <c:showBubbleSize val="0"/>
        </c:dLbls>
        <c:gapWidth val="219"/>
        <c:overlap val="-27"/>
        <c:axId val="395802879"/>
        <c:axId val="817067360"/>
      </c:barChart>
      <c:catAx>
        <c:axId val="395802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067360"/>
        <c:crosses val="autoZero"/>
        <c:auto val="1"/>
        <c:lblAlgn val="ctr"/>
        <c:lblOffset val="100"/>
        <c:noMultiLvlLbl val="0"/>
      </c:catAx>
      <c:valAx>
        <c:axId val="817067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8028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[customer_shopping_data.xlsm]demographic factor !PivotTable3</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240157480314964E-2"/>
          <c:y val="0.22120151647710704"/>
          <c:w val="0.72298206474190729"/>
          <c:h val="0.44729877515310584"/>
        </c:manualLayout>
      </c:layout>
      <c:barChart>
        <c:barDir val="col"/>
        <c:grouping val="stacked"/>
        <c:varyColors val="0"/>
        <c:ser>
          <c:idx val="0"/>
          <c:order val="0"/>
          <c:tx>
            <c:strRef>
              <c:f>'demographic factor '!$B$1:$B$2</c:f>
              <c:strCache>
                <c:ptCount val="1"/>
                <c:pt idx="0">
                  <c:v>18-24</c:v>
                </c:pt>
              </c:strCache>
            </c:strRef>
          </c:tx>
          <c:spPr>
            <a:solidFill>
              <a:schemeClr val="accent1"/>
            </a:solidFill>
            <a:ln>
              <a:noFill/>
            </a:ln>
            <a:effectLst/>
          </c:spPr>
          <c:invertIfNegative val="0"/>
          <c:cat>
            <c:strRef>
              <c:f>'demographic factor '!$A$3:$A$13</c:f>
              <c:strCache>
                <c:ptCount val="10"/>
                <c:pt idx="0">
                  <c:v>Zorlu Center</c:v>
                </c:pt>
                <c:pt idx="1">
                  <c:v>Viaport Outlet</c:v>
                </c:pt>
                <c:pt idx="2">
                  <c:v>Metropol AVM</c:v>
                </c:pt>
                <c:pt idx="3">
                  <c:v>Metrocity</c:v>
                </c:pt>
                <c:pt idx="4">
                  <c:v>Mall of Istanbul</c:v>
                </c:pt>
                <c:pt idx="5">
                  <c:v>Kanyon</c:v>
                </c:pt>
                <c:pt idx="6">
                  <c:v>Istinye Park</c:v>
                </c:pt>
                <c:pt idx="7">
                  <c:v>Forum Istanbul</c:v>
                </c:pt>
                <c:pt idx="8">
                  <c:v>Emaar Square Mall</c:v>
                </c:pt>
                <c:pt idx="9">
                  <c:v>Cevahir AVM</c:v>
                </c:pt>
              </c:strCache>
            </c:strRef>
          </c:cat>
          <c:val>
            <c:numRef>
              <c:f>'demographic factor '!$B$3:$B$13</c:f>
              <c:numCache>
                <c:formatCode>General</c:formatCode>
                <c:ptCount val="10"/>
                <c:pt idx="0">
                  <c:v>2</c:v>
                </c:pt>
                <c:pt idx="2">
                  <c:v>4</c:v>
                </c:pt>
                <c:pt idx="3">
                  <c:v>4</c:v>
                </c:pt>
                <c:pt idx="4">
                  <c:v>7</c:v>
                </c:pt>
                <c:pt idx="5">
                  <c:v>8</c:v>
                </c:pt>
                <c:pt idx="6">
                  <c:v>3</c:v>
                </c:pt>
                <c:pt idx="8">
                  <c:v>2</c:v>
                </c:pt>
                <c:pt idx="9">
                  <c:v>1</c:v>
                </c:pt>
              </c:numCache>
            </c:numRef>
          </c:val>
          <c:extLst>
            <c:ext xmlns:c16="http://schemas.microsoft.com/office/drawing/2014/chart" uri="{C3380CC4-5D6E-409C-BE32-E72D297353CC}">
              <c16:uniqueId val="{00000000-A298-4608-855B-F58E4EA97BB9}"/>
            </c:ext>
          </c:extLst>
        </c:ser>
        <c:ser>
          <c:idx val="1"/>
          <c:order val="1"/>
          <c:tx>
            <c:strRef>
              <c:f>'demographic factor '!$C$1:$C$2</c:f>
              <c:strCache>
                <c:ptCount val="1"/>
                <c:pt idx="0">
                  <c:v>25-34</c:v>
                </c:pt>
              </c:strCache>
            </c:strRef>
          </c:tx>
          <c:spPr>
            <a:solidFill>
              <a:schemeClr val="accent2"/>
            </a:solidFill>
            <a:ln>
              <a:noFill/>
            </a:ln>
            <a:effectLst/>
          </c:spPr>
          <c:invertIfNegative val="0"/>
          <c:cat>
            <c:strRef>
              <c:f>'demographic factor '!$A$3:$A$13</c:f>
              <c:strCache>
                <c:ptCount val="10"/>
                <c:pt idx="0">
                  <c:v>Zorlu Center</c:v>
                </c:pt>
                <c:pt idx="1">
                  <c:v>Viaport Outlet</c:v>
                </c:pt>
                <c:pt idx="2">
                  <c:v>Metropol AVM</c:v>
                </c:pt>
                <c:pt idx="3">
                  <c:v>Metrocity</c:v>
                </c:pt>
                <c:pt idx="4">
                  <c:v>Mall of Istanbul</c:v>
                </c:pt>
                <c:pt idx="5">
                  <c:v>Kanyon</c:v>
                </c:pt>
                <c:pt idx="6">
                  <c:v>Istinye Park</c:v>
                </c:pt>
                <c:pt idx="7">
                  <c:v>Forum Istanbul</c:v>
                </c:pt>
                <c:pt idx="8">
                  <c:v>Emaar Square Mall</c:v>
                </c:pt>
                <c:pt idx="9">
                  <c:v>Cevahir AVM</c:v>
                </c:pt>
              </c:strCache>
            </c:strRef>
          </c:cat>
          <c:val>
            <c:numRef>
              <c:f>'demographic factor '!$C$3:$C$13</c:f>
              <c:numCache>
                <c:formatCode>General</c:formatCode>
                <c:ptCount val="10"/>
                <c:pt idx="1">
                  <c:v>2</c:v>
                </c:pt>
                <c:pt idx="2">
                  <c:v>7</c:v>
                </c:pt>
                <c:pt idx="3">
                  <c:v>8</c:v>
                </c:pt>
                <c:pt idx="4">
                  <c:v>8</c:v>
                </c:pt>
                <c:pt idx="5">
                  <c:v>9</c:v>
                </c:pt>
                <c:pt idx="6">
                  <c:v>6</c:v>
                </c:pt>
                <c:pt idx="7">
                  <c:v>4</c:v>
                </c:pt>
                <c:pt idx="8">
                  <c:v>3</c:v>
                </c:pt>
                <c:pt idx="9">
                  <c:v>1</c:v>
                </c:pt>
              </c:numCache>
            </c:numRef>
          </c:val>
          <c:extLst>
            <c:ext xmlns:c16="http://schemas.microsoft.com/office/drawing/2014/chart" uri="{C3380CC4-5D6E-409C-BE32-E72D297353CC}">
              <c16:uniqueId val="{00000001-A298-4608-855B-F58E4EA97BB9}"/>
            </c:ext>
          </c:extLst>
        </c:ser>
        <c:ser>
          <c:idx val="2"/>
          <c:order val="2"/>
          <c:tx>
            <c:strRef>
              <c:f>'demographic factor '!$D$1:$D$2</c:f>
              <c:strCache>
                <c:ptCount val="1"/>
                <c:pt idx="0">
                  <c:v>35-44</c:v>
                </c:pt>
              </c:strCache>
            </c:strRef>
          </c:tx>
          <c:spPr>
            <a:solidFill>
              <a:schemeClr val="accent3"/>
            </a:solidFill>
            <a:ln>
              <a:noFill/>
            </a:ln>
            <a:effectLst/>
          </c:spPr>
          <c:invertIfNegative val="0"/>
          <c:cat>
            <c:strRef>
              <c:f>'demographic factor '!$A$3:$A$13</c:f>
              <c:strCache>
                <c:ptCount val="10"/>
                <c:pt idx="0">
                  <c:v>Zorlu Center</c:v>
                </c:pt>
                <c:pt idx="1">
                  <c:v>Viaport Outlet</c:v>
                </c:pt>
                <c:pt idx="2">
                  <c:v>Metropol AVM</c:v>
                </c:pt>
                <c:pt idx="3">
                  <c:v>Metrocity</c:v>
                </c:pt>
                <c:pt idx="4">
                  <c:v>Mall of Istanbul</c:v>
                </c:pt>
                <c:pt idx="5">
                  <c:v>Kanyon</c:v>
                </c:pt>
                <c:pt idx="6">
                  <c:v>Istinye Park</c:v>
                </c:pt>
                <c:pt idx="7">
                  <c:v>Forum Istanbul</c:v>
                </c:pt>
                <c:pt idx="8">
                  <c:v>Emaar Square Mall</c:v>
                </c:pt>
                <c:pt idx="9">
                  <c:v>Cevahir AVM</c:v>
                </c:pt>
              </c:strCache>
            </c:strRef>
          </c:cat>
          <c:val>
            <c:numRef>
              <c:f>'demographic factor '!$D$3:$D$13</c:f>
              <c:numCache>
                <c:formatCode>General</c:formatCode>
                <c:ptCount val="10"/>
                <c:pt idx="0">
                  <c:v>4</c:v>
                </c:pt>
                <c:pt idx="1">
                  <c:v>4</c:v>
                </c:pt>
                <c:pt idx="2">
                  <c:v>5</c:v>
                </c:pt>
                <c:pt idx="3">
                  <c:v>7</c:v>
                </c:pt>
                <c:pt idx="4">
                  <c:v>8</c:v>
                </c:pt>
                <c:pt idx="5">
                  <c:v>11</c:v>
                </c:pt>
                <c:pt idx="6">
                  <c:v>5</c:v>
                </c:pt>
                <c:pt idx="7">
                  <c:v>1</c:v>
                </c:pt>
                <c:pt idx="8">
                  <c:v>4</c:v>
                </c:pt>
                <c:pt idx="9">
                  <c:v>3</c:v>
                </c:pt>
              </c:numCache>
            </c:numRef>
          </c:val>
          <c:extLst>
            <c:ext xmlns:c16="http://schemas.microsoft.com/office/drawing/2014/chart" uri="{C3380CC4-5D6E-409C-BE32-E72D297353CC}">
              <c16:uniqueId val="{00000002-A298-4608-855B-F58E4EA97BB9}"/>
            </c:ext>
          </c:extLst>
        </c:ser>
        <c:ser>
          <c:idx val="3"/>
          <c:order val="3"/>
          <c:tx>
            <c:strRef>
              <c:f>'demographic factor '!$E$1:$E$2</c:f>
              <c:strCache>
                <c:ptCount val="1"/>
                <c:pt idx="0">
                  <c:v>45-54</c:v>
                </c:pt>
              </c:strCache>
            </c:strRef>
          </c:tx>
          <c:spPr>
            <a:solidFill>
              <a:schemeClr val="accent4"/>
            </a:solidFill>
            <a:ln>
              <a:noFill/>
            </a:ln>
            <a:effectLst/>
          </c:spPr>
          <c:invertIfNegative val="0"/>
          <c:cat>
            <c:strRef>
              <c:f>'demographic factor '!$A$3:$A$13</c:f>
              <c:strCache>
                <c:ptCount val="10"/>
                <c:pt idx="0">
                  <c:v>Zorlu Center</c:v>
                </c:pt>
                <c:pt idx="1">
                  <c:v>Viaport Outlet</c:v>
                </c:pt>
                <c:pt idx="2">
                  <c:v>Metropol AVM</c:v>
                </c:pt>
                <c:pt idx="3">
                  <c:v>Metrocity</c:v>
                </c:pt>
                <c:pt idx="4">
                  <c:v>Mall of Istanbul</c:v>
                </c:pt>
                <c:pt idx="5">
                  <c:v>Kanyon</c:v>
                </c:pt>
                <c:pt idx="6">
                  <c:v>Istinye Park</c:v>
                </c:pt>
                <c:pt idx="7">
                  <c:v>Forum Istanbul</c:v>
                </c:pt>
                <c:pt idx="8">
                  <c:v>Emaar Square Mall</c:v>
                </c:pt>
                <c:pt idx="9">
                  <c:v>Cevahir AVM</c:v>
                </c:pt>
              </c:strCache>
            </c:strRef>
          </c:cat>
          <c:val>
            <c:numRef>
              <c:f>'demographic factor '!$E$3:$E$13</c:f>
              <c:numCache>
                <c:formatCode>General</c:formatCode>
                <c:ptCount val="10"/>
                <c:pt idx="0">
                  <c:v>3</c:v>
                </c:pt>
                <c:pt idx="1">
                  <c:v>1</c:v>
                </c:pt>
                <c:pt idx="2">
                  <c:v>6</c:v>
                </c:pt>
                <c:pt idx="3">
                  <c:v>5</c:v>
                </c:pt>
                <c:pt idx="4">
                  <c:v>10</c:v>
                </c:pt>
                <c:pt idx="5">
                  <c:v>11</c:v>
                </c:pt>
                <c:pt idx="6">
                  <c:v>10</c:v>
                </c:pt>
                <c:pt idx="7">
                  <c:v>2</c:v>
                </c:pt>
                <c:pt idx="8">
                  <c:v>2</c:v>
                </c:pt>
                <c:pt idx="9">
                  <c:v>1</c:v>
                </c:pt>
              </c:numCache>
            </c:numRef>
          </c:val>
          <c:extLst>
            <c:ext xmlns:c16="http://schemas.microsoft.com/office/drawing/2014/chart" uri="{C3380CC4-5D6E-409C-BE32-E72D297353CC}">
              <c16:uniqueId val="{00000003-A298-4608-855B-F58E4EA97BB9}"/>
            </c:ext>
          </c:extLst>
        </c:ser>
        <c:ser>
          <c:idx val="4"/>
          <c:order val="4"/>
          <c:tx>
            <c:strRef>
              <c:f>'demographic factor '!$F$1:$F$2</c:f>
              <c:strCache>
                <c:ptCount val="1"/>
                <c:pt idx="0">
                  <c:v>55-64</c:v>
                </c:pt>
              </c:strCache>
            </c:strRef>
          </c:tx>
          <c:spPr>
            <a:solidFill>
              <a:schemeClr val="accent5"/>
            </a:solidFill>
            <a:ln>
              <a:noFill/>
            </a:ln>
            <a:effectLst/>
          </c:spPr>
          <c:invertIfNegative val="0"/>
          <c:cat>
            <c:strRef>
              <c:f>'demographic factor '!$A$3:$A$13</c:f>
              <c:strCache>
                <c:ptCount val="10"/>
                <c:pt idx="0">
                  <c:v>Zorlu Center</c:v>
                </c:pt>
                <c:pt idx="1">
                  <c:v>Viaport Outlet</c:v>
                </c:pt>
                <c:pt idx="2">
                  <c:v>Metropol AVM</c:v>
                </c:pt>
                <c:pt idx="3">
                  <c:v>Metrocity</c:v>
                </c:pt>
                <c:pt idx="4">
                  <c:v>Mall of Istanbul</c:v>
                </c:pt>
                <c:pt idx="5">
                  <c:v>Kanyon</c:v>
                </c:pt>
                <c:pt idx="6">
                  <c:v>Istinye Park</c:v>
                </c:pt>
                <c:pt idx="7">
                  <c:v>Forum Istanbul</c:v>
                </c:pt>
                <c:pt idx="8">
                  <c:v>Emaar Square Mall</c:v>
                </c:pt>
                <c:pt idx="9">
                  <c:v>Cevahir AVM</c:v>
                </c:pt>
              </c:strCache>
            </c:strRef>
          </c:cat>
          <c:val>
            <c:numRef>
              <c:f>'demographic factor '!$F$3:$F$13</c:f>
              <c:numCache>
                <c:formatCode>General</c:formatCode>
                <c:ptCount val="10"/>
                <c:pt idx="0">
                  <c:v>1</c:v>
                </c:pt>
                <c:pt idx="1">
                  <c:v>2</c:v>
                </c:pt>
                <c:pt idx="2">
                  <c:v>3</c:v>
                </c:pt>
                <c:pt idx="3">
                  <c:v>10</c:v>
                </c:pt>
                <c:pt idx="4">
                  <c:v>11</c:v>
                </c:pt>
                <c:pt idx="5">
                  <c:v>7</c:v>
                </c:pt>
                <c:pt idx="6">
                  <c:v>3</c:v>
                </c:pt>
                <c:pt idx="7">
                  <c:v>2</c:v>
                </c:pt>
                <c:pt idx="8">
                  <c:v>2</c:v>
                </c:pt>
              </c:numCache>
            </c:numRef>
          </c:val>
          <c:extLst>
            <c:ext xmlns:c16="http://schemas.microsoft.com/office/drawing/2014/chart" uri="{C3380CC4-5D6E-409C-BE32-E72D297353CC}">
              <c16:uniqueId val="{00000004-A298-4608-855B-F58E4EA97BB9}"/>
            </c:ext>
          </c:extLst>
        </c:ser>
        <c:ser>
          <c:idx val="5"/>
          <c:order val="5"/>
          <c:tx>
            <c:strRef>
              <c:f>'demographic factor '!$G$1:$G$2</c:f>
              <c:strCache>
                <c:ptCount val="1"/>
                <c:pt idx="0">
                  <c:v>65-69</c:v>
                </c:pt>
              </c:strCache>
            </c:strRef>
          </c:tx>
          <c:spPr>
            <a:solidFill>
              <a:schemeClr val="accent6"/>
            </a:solidFill>
            <a:ln>
              <a:noFill/>
            </a:ln>
            <a:effectLst/>
          </c:spPr>
          <c:invertIfNegative val="0"/>
          <c:cat>
            <c:strRef>
              <c:f>'demographic factor '!$A$3:$A$13</c:f>
              <c:strCache>
                <c:ptCount val="10"/>
                <c:pt idx="0">
                  <c:v>Zorlu Center</c:v>
                </c:pt>
                <c:pt idx="1">
                  <c:v>Viaport Outlet</c:v>
                </c:pt>
                <c:pt idx="2">
                  <c:v>Metropol AVM</c:v>
                </c:pt>
                <c:pt idx="3">
                  <c:v>Metrocity</c:v>
                </c:pt>
                <c:pt idx="4">
                  <c:v>Mall of Istanbul</c:v>
                </c:pt>
                <c:pt idx="5">
                  <c:v>Kanyon</c:v>
                </c:pt>
                <c:pt idx="6">
                  <c:v>Istinye Park</c:v>
                </c:pt>
                <c:pt idx="7">
                  <c:v>Forum Istanbul</c:v>
                </c:pt>
                <c:pt idx="8">
                  <c:v>Emaar Square Mall</c:v>
                </c:pt>
                <c:pt idx="9">
                  <c:v>Cevahir AVM</c:v>
                </c:pt>
              </c:strCache>
            </c:strRef>
          </c:cat>
          <c:val>
            <c:numRef>
              <c:f>'demographic factor '!$G$3:$G$13</c:f>
              <c:numCache>
                <c:formatCode>General</c:formatCode>
                <c:ptCount val="10"/>
                <c:pt idx="2">
                  <c:v>4</c:v>
                </c:pt>
                <c:pt idx="3">
                  <c:v>4</c:v>
                </c:pt>
                <c:pt idx="4">
                  <c:v>5</c:v>
                </c:pt>
                <c:pt idx="5">
                  <c:v>6</c:v>
                </c:pt>
                <c:pt idx="6">
                  <c:v>2</c:v>
                </c:pt>
                <c:pt idx="8">
                  <c:v>4</c:v>
                </c:pt>
                <c:pt idx="9">
                  <c:v>1</c:v>
                </c:pt>
              </c:numCache>
            </c:numRef>
          </c:val>
          <c:extLst>
            <c:ext xmlns:c16="http://schemas.microsoft.com/office/drawing/2014/chart" uri="{C3380CC4-5D6E-409C-BE32-E72D297353CC}">
              <c16:uniqueId val="{00000005-A298-4608-855B-F58E4EA97BB9}"/>
            </c:ext>
          </c:extLst>
        </c:ser>
        <c:dLbls>
          <c:showLegendKey val="0"/>
          <c:showVal val="0"/>
          <c:showCatName val="0"/>
          <c:showSerName val="0"/>
          <c:showPercent val="0"/>
          <c:showBubbleSize val="0"/>
        </c:dLbls>
        <c:gapWidth val="219"/>
        <c:overlap val="100"/>
        <c:axId val="826943952"/>
        <c:axId val="819986880"/>
      </c:barChart>
      <c:catAx>
        <c:axId val="826943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9986880"/>
        <c:crosses val="autoZero"/>
        <c:auto val="1"/>
        <c:lblAlgn val="ctr"/>
        <c:lblOffset val="100"/>
        <c:noMultiLvlLbl val="0"/>
      </c:catAx>
      <c:valAx>
        <c:axId val="819986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943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[customer_shopping_data.xlsm]sales by category and malls!PivotTable1</c:name>
    <c:fmtId val="3"/>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'sales by category and malls'!$B$3:$B$4</c:f>
              <c:strCache>
                <c:ptCount val="1"/>
                <c:pt idx="0">
                  <c:v>Books</c:v>
                </c:pt>
              </c:strCache>
            </c:strRef>
          </c:tx>
          <c:spPr>
            <a:solidFill>
              <a:schemeClr val="accent1"/>
            </a:solidFill>
            <a:ln>
              <a:noFill/>
            </a:ln>
            <a:effectLst/>
          </c:spPr>
          <c:invertIfNegative val="0"/>
          <c:cat>
            <c:strRef>
              <c:f>'sales by category and malls'!$A$5:$A$15</c:f>
              <c:strCache>
                <c:ptCount val="10"/>
                <c:pt idx="0">
                  <c:v>Cevahir AVM</c:v>
                </c:pt>
                <c:pt idx="1">
                  <c:v>Emaar Square Mall</c:v>
                </c:pt>
                <c:pt idx="2">
                  <c:v>Forum Istanbul</c:v>
                </c:pt>
                <c:pt idx="3">
                  <c:v>Istinye Park</c:v>
                </c:pt>
                <c:pt idx="4">
                  <c:v>Kanyon</c:v>
                </c:pt>
                <c:pt idx="5">
                  <c:v>Mall of Istanbul</c:v>
                </c:pt>
                <c:pt idx="6">
                  <c:v>Metrocity</c:v>
                </c:pt>
                <c:pt idx="7">
                  <c:v>Metropol AVM</c:v>
                </c:pt>
                <c:pt idx="8">
                  <c:v>Viaport Outlet</c:v>
                </c:pt>
                <c:pt idx="9">
                  <c:v>Zorlu Center</c:v>
                </c:pt>
              </c:strCache>
            </c:strRef>
          </c:cat>
          <c:val>
            <c:numRef>
              <c:f>'sales by category and malls'!$B$5:$B$15</c:f>
              <c:numCache>
                <c:formatCode>General</c:formatCode>
                <c:ptCount val="10"/>
                <c:pt idx="3">
                  <c:v>136.35000000000002</c:v>
                </c:pt>
                <c:pt idx="4">
                  <c:v>681.75</c:v>
                </c:pt>
                <c:pt idx="5">
                  <c:v>1136.25</c:v>
                </c:pt>
                <c:pt idx="6">
                  <c:v>439.35</c:v>
                </c:pt>
                <c:pt idx="7">
                  <c:v>621.15</c:v>
                </c:pt>
                <c:pt idx="8">
                  <c:v>15.15</c:v>
                </c:pt>
              </c:numCache>
            </c:numRef>
          </c:val>
          <c:extLst>
            <c:ext xmlns:c16="http://schemas.microsoft.com/office/drawing/2014/chart" uri="{C3380CC4-5D6E-409C-BE32-E72D297353CC}">
              <c16:uniqueId val="{00000000-1F9E-4740-94ED-E598E21EF947}"/>
            </c:ext>
          </c:extLst>
        </c:ser>
        <c:ser>
          <c:idx val="1"/>
          <c:order val="1"/>
          <c:tx>
            <c:strRef>
              <c:f>'sales by category and malls'!$C$3:$C$4</c:f>
              <c:strCache>
                <c:ptCount val="1"/>
                <c:pt idx="0">
                  <c:v>Clothing</c:v>
                </c:pt>
              </c:strCache>
            </c:strRef>
          </c:tx>
          <c:spPr>
            <a:solidFill>
              <a:schemeClr val="accent2"/>
            </a:solidFill>
            <a:ln>
              <a:noFill/>
            </a:ln>
            <a:effectLst/>
          </c:spPr>
          <c:invertIfNegative val="0"/>
          <c:cat>
            <c:strRef>
              <c:f>'sales by category and malls'!$A$5:$A$15</c:f>
              <c:strCache>
                <c:ptCount val="10"/>
                <c:pt idx="0">
                  <c:v>Cevahir AVM</c:v>
                </c:pt>
                <c:pt idx="1">
                  <c:v>Emaar Square Mall</c:v>
                </c:pt>
                <c:pt idx="2">
                  <c:v>Forum Istanbul</c:v>
                </c:pt>
                <c:pt idx="3">
                  <c:v>Istinye Park</c:v>
                </c:pt>
                <c:pt idx="4">
                  <c:v>Kanyon</c:v>
                </c:pt>
                <c:pt idx="5">
                  <c:v>Mall of Istanbul</c:v>
                </c:pt>
                <c:pt idx="6">
                  <c:v>Metrocity</c:v>
                </c:pt>
                <c:pt idx="7">
                  <c:v>Metropol AVM</c:v>
                </c:pt>
                <c:pt idx="8">
                  <c:v>Viaport Outlet</c:v>
                </c:pt>
                <c:pt idx="9">
                  <c:v>Zorlu Center</c:v>
                </c:pt>
              </c:strCache>
            </c:strRef>
          </c:cat>
          <c:val>
            <c:numRef>
              <c:f>'sales by category and malls'!$C$5:$C$15</c:f>
              <c:numCache>
                <c:formatCode>General</c:formatCode>
                <c:ptCount val="10"/>
                <c:pt idx="0">
                  <c:v>7502</c:v>
                </c:pt>
                <c:pt idx="1">
                  <c:v>27307.280000000002</c:v>
                </c:pt>
                <c:pt idx="2">
                  <c:v>5101.3599999999997</c:v>
                </c:pt>
                <c:pt idx="3">
                  <c:v>35709.520000000004</c:v>
                </c:pt>
                <c:pt idx="4">
                  <c:v>67818.080000000016</c:v>
                </c:pt>
                <c:pt idx="5">
                  <c:v>49513.200000000004</c:v>
                </c:pt>
                <c:pt idx="6">
                  <c:v>50113.36</c:v>
                </c:pt>
                <c:pt idx="7">
                  <c:v>33608.959999999999</c:v>
                </c:pt>
                <c:pt idx="8">
                  <c:v>3000.7999999999997</c:v>
                </c:pt>
                <c:pt idx="9">
                  <c:v>12603.36</c:v>
                </c:pt>
              </c:numCache>
            </c:numRef>
          </c:val>
          <c:extLst>
            <c:ext xmlns:c16="http://schemas.microsoft.com/office/drawing/2014/chart" uri="{C3380CC4-5D6E-409C-BE32-E72D297353CC}">
              <c16:uniqueId val="{00000000-16E9-49E4-A6BB-6EB0453E7B87}"/>
            </c:ext>
          </c:extLst>
        </c:ser>
        <c:ser>
          <c:idx val="2"/>
          <c:order val="2"/>
          <c:tx>
            <c:strRef>
              <c:f>'sales by category and malls'!$D$3:$D$4</c:f>
              <c:strCache>
                <c:ptCount val="1"/>
                <c:pt idx="0">
                  <c:v>Cosmetics</c:v>
                </c:pt>
              </c:strCache>
            </c:strRef>
          </c:tx>
          <c:spPr>
            <a:solidFill>
              <a:schemeClr val="accent3"/>
            </a:solidFill>
            <a:ln>
              <a:noFill/>
            </a:ln>
            <a:effectLst/>
          </c:spPr>
          <c:invertIfNegative val="0"/>
          <c:cat>
            <c:strRef>
              <c:f>'sales by category and malls'!$A$5:$A$15</c:f>
              <c:strCache>
                <c:ptCount val="10"/>
                <c:pt idx="0">
                  <c:v>Cevahir AVM</c:v>
                </c:pt>
                <c:pt idx="1">
                  <c:v>Emaar Square Mall</c:v>
                </c:pt>
                <c:pt idx="2">
                  <c:v>Forum Istanbul</c:v>
                </c:pt>
                <c:pt idx="3">
                  <c:v>Istinye Park</c:v>
                </c:pt>
                <c:pt idx="4">
                  <c:v>Kanyon</c:v>
                </c:pt>
                <c:pt idx="5">
                  <c:v>Mall of Istanbul</c:v>
                </c:pt>
                <c:pt idx="6">
                  <c:v>Metrocity</c:v>
                </c:pt>
                <c:pt idx="7">
                  <c:v>Metropol AVM</c:v>
                </c:pt>
                <c:pt idx="8">
                  <c:v>Viaport Outlet</c:v>
                </c:pt>
                <c:pt idx="9">
                  <c:v>Zorlu Center</c:v>
                </c:pt>
              </c:strCache>
            </c:strRef>
          </c:cat>
          <c:val>
            <c:numRef>
              <c:f>'sales by category and malls'!$D$5:$D$15</c:f>
              <c:numCache>
                <c:formatCode>General</c:formatCode>
                <c:ptCount val="10"/>
                <c:pt idx="0">
                  <c:v>1382.44</c:v>
                </c:pt>
                <c:pt idx="1">
                  <c:v>731.87999999999988</c:v>
                </c:pt>
                <c:pt idx="2">
                  <c:v>1707.72</c:v>
                </c:pt>
                <c:pt idx="3">
                  <c:v>3212.14</c:v>
                </c:pt>
                <c:pt idx="4">
                  <c:v>1829.6999999999994</c:v>
                </c:pt>
                <c:pt idx="5">
                  <c:v>6220.9799999999987</c:v>
                </c:pt>
                <c:pt idx="6">
                  <c:v>2073.66</c:v>
                </c:pt>
                <c:pt idx="7">
                  <c:v>2073.66</c:v>
                </c:pt>
                <c:pt idx="9">
                  <c:v>2073.66</c:v>
                </c:pt>
              </c:numCache>
            </c:numRef>
          </c:val>
          <c:extLst>
            <c:ext xmlns:c16="http://schemas.microsoft.com/office/drawing/2014/chart" uri="{C3380CC4-5D6E-409C-BE32-E72D297353CC}">
              <c16:uniqueId val="{00000001-16E9-49E4-A6BB-6EB0453E7B87}"/>
            </c:ext>
          </c:extLst>
        </c:ser>
        <c:ser>
          <c:idx val="3"/>
          <c:order val="3"/>
          <c:tx>
            <c:strRef>
              <c:f>'sales by category and malls'!$E$3:$E$4</c:f>
              <c:strCache>
                <c:ptCount val="1"/>
                <c:pt idx="0">
                  <c:v>Food &amp; Beverage</c:v>
                </c:pt>
              </c:strCache>
            </c:strRef>
          </c:tx>
          <c:spPr>
            <a:solidFill>
              <a:schemeClr val="accent4"/>
            </a:solidFill>
            <a:ln>
              <a:noFill/>
            </a:ln>
            <a:effectLst/>
          </c:spPr>
          <c:invertIfNegative val="0"/>
          <c:cat>
            <c:strRef>
              <c:f>'sales by category and malls'!$A$5:$A$15</c:f>
              <c:strCache>
                <c:ptCount val="10"/>
                <c:pt idx="0">
                  <c:v>Cevahir AVM</c:v>
                </c:pt>
                <c:pt idx="1">
                  <c:v>Emaar Square Mall</c:v>
                </c:pt>
                <c:pt idx="2">
                  <c:v>Forum Istanbul</c:v>
                </c:pt>
                <c:pt idx="3">
                  <c:v>Istinye Park</c:v>
                </c:pt>
                <c:pt idx="4">
                  <c:v>Kanyon</c:v>
                </c:pt>
                <c:pt idx="5">
                  <c:v>Mall of Istanbul</c:v>
                </c:pt>
                <c:pt idx="6">
                  <c:v>Metrocity</c:v>
                </c:pt>
                <c:pt idx="7">
                  <c:v>Metropol AVM</c:v>
                </c:pt>
                <c:pt idx="8">
                  <c:v>Viaport Outlet</c:v>
                </c:pt>
                <c:pt idx="9">
                  <c:v>Zorlu Center</c:v>
                </c:pt>
              </c:strCache>
            </c:strRef>
          </c:cat>
          <c:val>
            <c:numRef>
              <c:f>'sales by category and malls'!$E$5:$E$15</c:f>
              <c:numCache>
                <c:formatCode>General</c:formatCode>
                <c:ptCount val="10"/>
                <c:pt idx="1">
                  <c:v>5.23</c:v>
                </c:pt>
                <c:pt idx="2">
                  <c:v>52.3</c:v>
                </c:pt>
                <c:pt idx="3">
                  <c:v>224.89</c:v>
                </c:pt>
                <c:pt idx="4">
                  <c:v>413.17</c:v>
                </c:pt>
                <c:pt idx="5">
                  <c:v>549.15000000000009</c:v>
                </c:pt>
                <c:pt idx="6">
                  <c:v>397.48</c:v>
                </c:pt>
                <c:pt idx="7">
                  <c:v>104.60000000000001</c:v>
                </c:pt>
                <c:pt idx="8">
                  <c:v>10.46</c:v>
                </c:pt>
              </c:numCache>
            </c:numRef>
          </c:val>
          <c:extLst>
            <c:ext xmlns:c16="http://schemas.microsoft.com/office/drawing/2014/chart" uri="{C3380CC4-5D6E-409C-BE32-E72D297353CC}">
              <c16:uniqueId val="{00000002-16E9-49E4-A6BB-6EB0453E7B87}"/>
            </c:ext>
          </c:extLst>
        </c:ser>
        <c:ser>
          <c:idx val="4"/>
          <c:order val="4"/>
          <c:tx>
            <c:strRef>
              <c:f>'sales by category and malls'!$F$3:$F$4</c:f>
              <c:strCache>
                <c:ptCount val="1"/>
                <c:pt idx="0">
                  <c:v>Shoes</c:v>
                </c:pt>
              </c:strCache>
            </c:strRef>
          </c:tx>
          <c:spPr>
            <a:solidFill>
              <a:schemeClr val="accent5"/>
            </a:solidFill>
            <a:ln>
              <a:noFill/>
            </a:ln>
            <a:effectLst/>
          </c:spPr>
          <c:invertIfNegative val="0"/>
          <c:cat>
            <c:strRef>
              <c:f>'sales by category and malls'!$A$5:$A$15</c:f>
              <c:strCache>
                <c:ptCount val="10"/>
                <c:pt idx="0">
                  <c:v>Cevahir AVM</c:v>
                </c:pt>
                <c:pt idx="1">
                  <c:v>Emaar Square Mall</c:v>
                </c:pt>
                <c:pt idx="2">
                  <c:v>Forum Istanbul</c:v>
                </c:pt>
                <c:pt idx="3">
                  <c:v>Istinye Park</c:v>
                </c:pt>
                <c:pt idx="4">
                  <c:v>Kanyon</c:v>
                </c:pt>
                <c:pt idx="5">
                  <c:v>Mall of Istanbul</c:v>
                </c:pt>
                <c:pt idx="6">
                  <c:v>Metrocity</c:v>
                </c:pt>
                <c:pt idx="7">
                  <c:v>Metropol AVM</c:v>
                </c:pt>
                <c:pt idx="8">
                  <c:v>Viaport Outlet</c:v>
                </c:pt>
                <c:pt idx="9">
                  <c:v>Zorlu Center</c:v>
                </c:pt>
              </c:strCache>
            </c:strRef>
          </c:cat>
          <c:val>
            <c:numRef>
              <c:f>'sales by category and malls'!$F$5:$F$15</c:f>
              <c:numCache>
                <c:formatCode>General</c:formatCode>
                <c:ptCount val="10"/>
                <c:pt idx="1">
                  <c:v>2400.6799999999998</c:v>
                </c:pt>
                <c:pt idx="3">
                  <c:v>2400.6799999999998</c:v>
                </c:pt>
                <c:pt idx="4">
                  <c:v>8402.3799999999992</c:v>
                </c:pt>
                <c:pt idx="5">
                  <c:v>37810.71</c:v>
                </c:pt>
                <c:pt idx="6">
                  <c:v>42011.899999999994</c:v>
                </c:pt>
                <c:pt idx="7">
                  <c:v>48013.599999999999</c:v>
                </c:pt>
                <c:pt idx="8">
                  <c:v>600.16999999999996</c:v>
                </c:pt>
                <c:pt idx="9">
                  <c:v>9602.7199999999993</c:v>
                </c:pt>
              </c:numCache>
            </c:numRef>
          </c:val>
          <c:extLst>
            <c:ext xmlns:c16="http://schemas.microsoft.com/office/drawing/2014/chart" uri="{C3380CC4-5D6E-409C-BE32-E72D297353CC}">
              <c16:uniqueId val="{00000003-16E9-49E4-A6BB-6EB0453E7B87}"/>
            </c:ext>
          </c:extLst>
        </c:ser>
        <c:ser>
          <c:idx val="5"/>
          <c:order val="5"/>
          <c:tx>
            <c:strRef>
              <c:f>'sales by category and malls'!$G$3:$G$4</c:f>
              <c:strCache>
                <c:ptCount val="1"/>
                <c:pt idx="0">
                  <c:v>Souvenir</c:v>
                </c:pt>
              </c:strCache>
            </c:strRef>
          </c:tx>
          <c:spPr>
            <a:solidFill>
              <a:schemeClr val="accent6"/>
            </a:solidFill>
            <a:ln>
              <a:noFill/>
            </a:ln>
            <a:effectLst/>
          </c:spPr>
          <c:invertIfNegative val="0"/>
          <c:cat>
            <c:strRef>
              <c:f>'sales by category and malls'!$A$5:$A$15</c:f>
              <c:strCache>
                <c:ptCount val="10"/>
                <c:pt idx="0">
                  <c:v>Cevahir AVM</c:v>
                </c:pt>
                <c:pt idx="1">
                  <c:v>Emaar Square Mall</c:v>
                </c:pt>
                <c:pt idx="2">
                  <c:v>Forum Istanbul</c:v>
                </c:pt>
                <c:pt idx="3">
                  <c:v>Istinye Park</c:v>
                </c:pt>
                <c:pt idx="4">
                  <c:v>Kanyon</c:v>
                </c:pt>
                <c:pt idx="5">
                  <c:v>Mall of Istanbul</c:v>
                </c:pt>
                <c:pt idx="6">
                  <c:v>Metrocity</c:v>
                </c:pt>
                <c:pt idx="7">
                  <c:v>Metropol AVM</c:v>
                </c:pt>
                <c:pt idx="8">
                  <c:v>Viaport Outlet</c:v>
                </c:pt>
                <c:pt idx="9">
                  <c:v>Zorlu Center</c:v>
                </c:pt>
              </c:strCache>
            </c:strRef>
          </c:cat>
          <c:val>
            <c:numRef>
              <c:f>'sales by category and malls'!$G$5:$G$15</c:f>
              <c:numCache>
                <c:formatCode>General</c:formatCode>
                <c:ptCount val="10"/>
                <c:pt idx="0">
                  <c:v>93.84</c:v>
                </c:pt>
                <c:pt idx="1">
                  <c:v>46.92</c:v>
                </c:pt>
                <c:pt idx="2">
                  <c:v>46.92</c:v>
                </c:pt>
                <c:pt idx="3">
                  <c:v>46.92</c:v>
                </c:pt>
                <c:pt idx="4">
                  <c:v>598.23</c:v>
                </c:pt>
                <c:pt idx="5">
                  <c:v>293.25</c:v>
                </c:pt>
                <c:pt idx="6">
                  <c:v>375.36</c:v>
                </c:pt>
                <c:pt idx="7">
                  <c:v>293.25</c:v>
                </c:pt>
              </c:numCache>
            </c:numRef>
          </c:val>
          <c:extLst>
            <c:ext xmlns:c16="http://schemas.microsoft.com/office/drawing/2014/chart" uri="{C3380CC4-5D6E-409C-BE32-E72D297353CC}">
              <c16:uniqueId val="{00000004-16E9-49E4-A6BB-6EB0453E7B87}"/>
            </c:ext>
          </c:extLst>
        </c:ser>
        <c:ser>
          <c:idx val="6"/>
          <c:order val="6"/>
          <c:tx>
            <c:strRef>
              <c:f>'sales by category and malls'!$H$3:$H$4</c:f>
              <c:strCache>
                <c:ptCount val="1"/>
                <c:pt idx="0">
                  <c:v>Technology</c:v>
                </c:pt>
              </c:strCache>
            </c:strRef>
          </c:tx>
          <c:spPr>
            <a:solidFill>
              <a:schemeClr val="accent1">
                <a:lumMod val="60000"/>
              </a:schemeClr>
            </a:solidFill>
            <a:ln>
              <a:noFill/>
            </a:ln>
            <a:effectLst/>
          </c:spPr>
          <c:invertIfNegative val="0"/>
          <c:cat>
            <c:strRef>
              <c:f>'sales by category and malls'!$A$5:$A$15</c:f>
              <c:strCache>
                <c:ptCount val="10"/>
                <c:pt idx="0">
                  <c:v>Cevahir AVM</c:v>
                </c:pt>
                <c:pt idx="1">
                  <c:v>Emaar Square Mall</c:v>
                </c:pt>
                <c:pt idx="2">
                  <c:v>Forum Istanbul</c:v>
                </c:pt>
                <c:pt idx="3">
                  <c:v>Istinye Park</c:v>
                </c:pt>
                <c:pt idx="4">
                  <c:v>Kanyon</c:v>
                </c:pt>
                <c:pt idx="5">
                  <c:v>Mall of Istanbul</c:v>
                </c:pt>
                <c:pt idx="6">
                  <c:v>Metrocity</c:v>
                </c:pt>
                <c:pt idx="7">
                  <c:v>Metropol AVM</c:v>
                </c:pt>
                <c:pt idx="8">
                  <c:v>Viaport Outlet</c:v>
                </c:pt>
                <c:pt idx="9">
                  <c:v>Zorlu Center</c:v>
                </c:pt>
              </c:strCache>
            </c:strRef>
          </c:cat>
          <c:val>
            <c:numRef>
              <c:f>'sales by category and malls'!$H$5:$H$15</c:f>
              <c:numCache>
                <c:formatCode>General</c:formatCode>
                <c:ptCount val="10"/>
                <c:pt idx="1">
                  <c:v>16800</c:v>
                </c:pt>
                <c:pt idx="3">
                  <c:v>21000</c:v>
                </c:pt>
                <c:pt idx="4">
                  <c:v>16800</c:v>
                </c:pt>
                <c:pt idx="5">
                  <c:v>30450</c:v>
                </c:pt>
                <c:pt idx="6">
                  <c:v>16800</c:v>
                </c:pt>
                <c:pt idx="7">
                  <c:v>1050</c:v>
                </c:pt>
                <c:pt idx="9">
                  <c:v>27300</c:v>
                </c:pt>
              </c:numCache>
            </c:numRef>
          </c:val>
          <c:extLst>
            <c:ext xmlns:c16="http://schemas.microsoft.com/office/drawing/2014/chart" uri="{C3380CC4-5D6E-409C-BE32-E72D297353CC}">
              <c16:uniqueId val="{00000005-16E9-49E4-A6BB-6EB0453E7B87}"/>
            </c:ext>
          </c:extLst>
        </c:ser>
        <c:ser>
          <c:idx val="7"/>
          <c:order val="7"/>
          <c:tx>
            <c:strRef>
              <c:f>'sales by category and malls'!$I$3:$I$4</c:f>
              <c:strCache>
                <c:ptCount val="1"/>
                <c:pt idx="0">
                  <c:v>Toys</c:v>
                </c:pt>
              </c:strCache>
            </c:strRef>
          </c:tx>
          <c:spPr>
            <a:solidFill>
              <a:schemeClr val="accent2">
                <a:lumMod val="60000"/>
              </a:schemeClr>
            </a:solidFill>
            <a:ln>
              <a:noFill/>
            </a:ln>
            <a:effectLst/>
          </c:spPr>
          <c:invertIfNegative val="0"/>
          <c:cat>
            <c:strRef>
              <c:f>'sales by category and malls'!$A$5:$A$15</c:f>
              <c:strCache>
                <c:ptCount val="10"/>
                <c:pt idx="0">
                  <c:v>Cevahir AVM</c:v>
                </c:pt>
                <c:pt idx="1">
                  <c:v>Emaar Square Mall</c:v>
                </c:pt>
                <c:pt idx="2">
                  <c:v>Forum Istanbul</c:v>
                </c:pt>
                <c:pt idx="3">
                  <c:v>Istinye Park</c:v>
                </c:pt>
                <c:pt idx="4">
                  <c:v>Kanyon</c:v>
                </c:pt>
                <c:pt idx="5">
                  <c:v>Mall of Istanbul</c:v>
                </c:pt>
                <c:pt idx="6">
                  <c:v>Metrocity</c:v>
                </c:pt>
                <c:pt idx="7">
                  <c:v>Metropol AVM</c:v>
                </c:pt>
                <c:pt idx="8">
                  <c:v>Viaport Outlet</c:v>
                </c:pt>
                <c:pt idx="9">
                  <c:v>Zorlu Center</c:v>
                </c:pt>
              </c:strCache>
            </c:strRef>
          </c:cat>
          <c:val>
            <c:numRef>
              <c:f>'sales by category and malls'!$I$5:$I$15</c:f>
              <c:numCache>
                <c:formatCode>General</c:formatCode>
                <c:ptCount val="10"/>
                <c:pt idx="0">
                  <c:v>573.44000000000005</c:v>
                </c:pt>
                <c:pt idx="1">
                  <c:v>645.12</c:v>
                </c:pt>
                <c:pt idx="2">
                  <c:v>322.56</c:v>
                </c:pt>
                <c:pt idx="3">
                  <c:v>931.84</c:v>
                </c:pt>
                <c:pt idx="4">
                  <c:v>143.36000000000001</c:v>
                </c:pt>
                <c:pt idx="5">
                  <c:v>931.84</c:v>
                </c:pt>
                <c:pt idx="6">
                  <c:v>1361.92</c:v>
                </c:pt>
                <c:pt idx="7">
                  <c:v>143.36000000000001</c:v>
                </c:pt>
                <c:pt idx="8">
                  <c:v>35.840000000000003</c:v>
                </c:pt>
              </c:numCache>
            </c:numRef>
          </c:val>
          <c:extLst>
            <c:ext xmlns:c16="http://schemas.microsoft.com/office/drawing/2014/chart" uri="{C3380CC4-5D6E-409C-BE32-E72D297353CC}">
              <c16:uniqueId val="{00000006-16E9-49E4-A6BB-6EB0453E7B87}"/>
            </c:ext>
          </c:extLst>
        </c:ser>
        <c:dLbls>
          <c:showLegendKey val="0"/>
          <c:showVal val="0"/>
          <c:showCatName val="0"/>
          <c:showSerName val="0"/>
          <c:showPercent val="0"/>
          <c:showBubbleSize val="0"/>
        </c:dLbls>
        <c:gapWidth val="150"/>
        <c:overlap val="100"/>
        <c:axId val="1246355600"/>
        <c:axId val="1185266063"/>
      </c:barChart>
      <c:catAx>
        <c:axId val="124635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5266063"/>
        <c:crosses val="autoZero"/>
        <c:auto val="1"/>
        <c:lblAlgn val="ctr"/>
        <c:lblOffset val="100"/>
        <c:noMultiLvlLbl val="0"/>
      </c:catAx>
      <c:valAx>
        <c:axId val="1185266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6355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[customer_shopping_data.xlsm]monthly trend!PivotTable4</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trend'!$B$1:$B$2</c:f>
              <c:strCache>
                <c:ptCount val="1"/>
                <c:pt idx="0">
                  <c:v>Jan</c:v>
                </c:pt>
              </c:strCache>
            </c:strRef>
          </c:tx>
          <c:spPr>
            <a:ln w="28575" cap="rnd">
              <a:solidFill>
                <a:schemeClr val="accent1"/>
              </a:solidFill>
              <a:round/>
            </a:ln>
            <a:effectLst/>
          </c:spPr>
          <c:marker>
            <c:symbol val="none"/>
          </c:marker>
          <c:cat>
            <c:strRef>
              <c:f>'monthly trend'!$A$3:$A$11</c:f>
              <c:strCache>
                <c:ptCount val="8"/>
                <c:pt idx="0">
                  <c:v>Books</c:v>
                </c:pt>
                <c:pt idx="1">
                  <c:v>Clothing</c:v>
                </c:pt>
                <c:pt idx="2">
                  <c:v>Cosmetics</c:v>
                </c:pt>
                <c:pt idx="3">
                  <c:v>Food &amp; Beverage</c:v>
                </c:pt>
                <c:pt idx="4">
                  <c:v>Shoes</c:v>
                </c:pt>
                <c:pt idx="5">
                  <c:v>Souvenir</c:v>
                </c:pt>
                <c:pt idx="6">
                  <c:v>Technology</c:v>
                </c:pt>
                <c:pt idx="7">
                  <c:v>Toys</c:v>
                </c:pt>
              </c:strCache>
            </c:strRef>
          </c:cat>
          <c:val>
            <c:numRef>
              <c:f>'monthly trend'!$B$3:$B$11</c:f>
              <c:numCache>
                <c:formatCode>General</c:formatCode>
                <c:ptCount val="8"/>
                <c:pt idx="0">
                  <c:v>1818</c:v>
                </c:pt>
                <c:pt idx="1">
                  <c:v>130534.80000000002</c:v>
                </c:pt>
                <c:pt idx="2">
                  <c:v>7562.7599999999984</c:v>
                </c:pt>
                <c:pt idx="3">
                  <c:v>1004.1600000000001</c:v>
                </c:pt>
                <c:pt idx="4">
                  <c:v>103229.23999999999</c:v>
                </c:pt>
                <c:pt idx="5">
                  <c:v>539.57999999999993</c:v>
                </c:pt>
                <c:pt idx="6">
                  <c:v>65100</c:v>
                </c:pt>
                <c:pt idx="7">
                  <c:v>2329.6</c:v>
                </c:pt>
              </c:numCache>
            </c:numRef>
          </c:val>
          <c:smooth val="0"/>
          <c:extLst>
            <c:ext xmlns:c16="http://schemas.microsoft.com/office/drawing/2014/chart" uri="{C3380CC4-5D6E-409C-BE32-E72D297353CC}">
              <c16:uniqueId val="{00000000-7AFA-4C3E-B6F2-0EFEBFBFE6DB}"/>
            </c:ext>
          </c:extLst>
        </c:ser>
        <c:ser>
          <c:idx val="1"/>
          <c:order val="1"/>
          <c:tx>
            <c:strRef>
              <c:f>'monthly trend'!$C$1:$C$2</c:f>
              <c:strCache>
                <c:ptCount val="1"/>
                <c:pt idx="0">
                  <c:v>Feb</c:v>
                </c:pt>
              </c:strCache>
            </c:strRef>
          </c:tx>
          <c:spPr>
            <a:ln w="28575" cap="rnd">
              <a:solidFill>
                <a:schemeClr val="accent2"/>
              </a:solidFill>
              <a:round/>
            </a:ln>
            <a:effectLst/>
          </c:spPr>
          <c:marker>
            <c:symbol val="none"/>
          </c:marker>
          <c:cat>
            <c:strRef>
              <c:f>'monthly trend'!$A$3:$A$11</c:f>
              <c:strCache>
                <c:ptCount val="8"/>
                <c:pt idx="0">
                  <c:v>Books</c:v>
                </c:pt>
                <c:pt idx="1">
                  <c:v>Clothing</c:v>
                </c:pt>
                <c:pt idx="2">
                  <c:v>Cosmetics</c:v>
                </c:pt>
                <c:pt idx="3">
                  <c:v>Food &amp; Beverage</c:v>
                </c:pt>
                <c:pt idx="4">
                  <c:v>Shoes</c:v>
                </c:pt>
                <c:pt idx="5">
                  <c:v>Souvenir</c:v>
                </c:pt>
                <c:pt idx="6">
                  <c:v>Technology</c:v>
                </c:pt>
                <c:pt idx="7">
                  <c:v>Toys</c:v>
                </c:pt>
              </c:strCache>
            </c:strRef>
          </c:cat>
          <c:val>
            <c:numRef>
              <c:f>'monthly trend'!$C$3:$C$11</c:f>
              <c:numCache>
                <c:formatCode>General</c:formatCode>
                <c:ptCount val="8"/>
                <c:pt idx="0">
                  <c:v>1151.4000000000001</c:v>
                </c:pt>
                <c:pt idx="1">
                  <c:v>120632.16000000008</c:v>
                </c:pt>
                <c:pt idx="2">
                  <c:v>11181.5</c:v>
                </c:pt>
                <c:pt idx="3">
                  <c:v>742.6600000000002</c:v>
                </c:pt>
                <c:pt idx="4">
                  <c:v>45612.92</c:v>
                </c:pt>
                <c:pt idx="5">
                  <c:v>539.57999999999993</c:v>
                </c:pt>
                <c:pt idx="6">
                  <c:v>48300</c:v>
                </c:pt>
                <c:pt idx="7">
                  <c:v>2042.8799999999999</c:v>
                </c:pt>
              </c:numCache>
            </c:numRef>
          </c:val>
          <c:smooth val="0"/>
          <c:extLst>
            <c:ext xmlns:c16="http://schemas.microsoft.com/office/drawing/2014/chart" uri="{C3380CC4-5D6E-409C-BE32-E72D297353CC}">
              <c16:uniqueId val="{00000000-5F55-43AC-86D7-7059B9BE0A8A}"/>
            </c:ext>
          </c:extLst>
        </c:ser>
        <c:ser>
          <c:idx val="2"/>
          <c:order val="2"/>
          <c:tx>
            <c:strRef>
              <c:f>'monthly trend'!$D$1:$D$2</c:f>
              <c:strCache>
                <c:ptCount val="1"/>
                <c:pt idx="0">
                  <c:v>Mar</c:v>
                </c:pt>
              </c:strCache>
            </c:strRef>
          </c:tx>
          <c:spPr>
            <a:ln w="28575" cap="rnd">
              <a:solidFill>
                <a:schemeClr val="accent3"/>
              </a:solidFill>
              <a:round/>
            </a:ln>
            <a:effectLst/>
          </c:spPr>
          <c:marker>
            <c:symbol val="none"/>
          </c:marker>
          <c:cat>
            <c:strRef>
              <c:f>'monthly trend'!$A$3:$A$11</c:f>
              <c:strCache>
                <c:ptCount val="8"/>
                <c:pt idx="0">
                  <c:v>Books</c:v>
                </c:pt>
                <c:pt idx="1">
                  <c:v>Clothing</c:v>
                </c:pt>
                <c:pt idx="2">
                  <c:v>Cosmetics</c:v>
                </c:pt>
                <c:pt idx="3">
                  <c:v>Food &amp; Beverage</c:v>
                </c:pt>
                <c:pt idx="4">
                  <c:v>Shoes</c:v>
                </c:pt>
                <c:pt idx="5">
                  <c:v>Souvenir</c:v>
                </c:pt>
                <c:pt idx="6">
                  <c:v>Technology</c:v>
                </c:pt>
                <c:pt idx="7">
                  <c:v>Toys</c:v>
                </c:pt>
              </c:strCache>
            </c:strRef>
          </c:cat>
          <c:val>
            <c:numRef>
              <c:f>'monthly trend'!$D$3:$D$11</c:f>
              <c:numCache>
                <c:formatCode>General</c:formatCode>
                <c:ptCount val="8"/>
                <c:pt idx="0">
                  <c:v>60.6</c:v>
                </c:pt>
                <c:pt idx="1">
                  <c:v>41110.960000000006</c:v>
                </c:pt>
                <c:pt idx="2">
                  <c:v>2561.5799999999995</c:v>
                </c:pt>
                <c:pt idx="3">
                  <c:v>10.46</c:v>
                </c:pt>
                <c:pt idx="4">
                  <c:v>2400.6799999999998</c:v>
                </c:pt>
                <c:pt idx="5">
                  <c:v>715.53</c:v>
                </c:pt>
                <c:pt idx="6">
                  <c:v>16800</c:v>
                </c:pt>
                <c:pt idx="7">
                  <c:v>716.80000000000007</c:v>
                </c:pt>
              </c:numCache>
            </c:numRef>
          </c:val>
          <c:smooth val="0"/>
          <c:extLst>
            <c:ext xmlns:c16="http://schemas.microsoft.com/office/drawing/2014/chart" uri="{C3380CC4-5D6E-409C-BE32-E72D297353CC}">
              <c16:uniqueId val="{00000001-5F55-43AC-86D7-7059B9BE0A8A}"/>
            </c:ext>
          </c:extLst>
        </c:ser>
        <c:dLbls>
          <c:showLegendKey val="0"/>
          <c:showVal val="0"/>
          <c:showCatName val="0"/>
          <c:showSerName val="0"/>
          <c:showPercent val="0"/>
          <c:showBubbleSize val="0"/>
        </c:dLbls>
        <c:smooth val="0"/>
        <c:axId val="826944432"/>
        <c:axId val="817070336"/>
      </c:lineChart>
      <c:catAx>
        <c:axId val="826944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070336"/>
        <c:crosses val="autoZero"/>
        <c:auto val="1"/>
        <c:lblAlgn val="ctr"/>
        <c:lblOffset val="100"/>
        <c:noMultiLvlLbl val="0"/>
      </c:catAx>
      <c:valAx>
        <c:axId val="817070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944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[customer_shopping_data.xlsm]payment trends!PivotTable5</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'payment trends'!$B$1:$B$2</c:f>
              <c:strCache>
                <c:ptCount val="1"/>
                <c:pt idx="0">
                  <c:v>25-34</c:v>
                </c:pt>
              </c:strCache>
            </c:strRef>
          </c:tx>
          <c:spPr>
            <a:solidFill>
              <a:schemeClr val="accent1"/>
            </a:solidFill>
            <a:ln>
              <a:noFill/>
            </a:ln>
            <a:effectLst/>
          </c:spPr>
          <c:invertIfNegative val="0"/>
          <c:cat>
            <c:strRef>
              <c:f>'payment trends'!$A$3:$A$6</c:f>
              <c:strCache>
                <c:ptCount val="3"/>
                <c:pt idx="0">
                  <c:v>Cash</c:v>
                </c:pt>
                <c:pt idx="1">
                  <c:v>Credit Card</c:v>
                </c:pt>
                <c:pt idx="2">
                  <c:v>Debit Card</c:v>
                </c:pt>
              </c:strCache>
            </c:strRef>
          </c:cat>
          <c:val>
            <c:numRef>
              <c:f>'payment trends'!$B$3:$B$6</c:f>
              <c:numCache>
                <c:formatCode>General</c:formatCode>
                <c:ptCount val="3"/>
                <c:pt idx="0">
                  <c:v>20</c:v>
                </c:pt>
                <c:pt idx="1">
                  <c:v>17</c:v>
                </c:pt>
                <c:pt idx="2">
                  <c:v>11</c:v>
                </c:pt>
              </c:numCache>
            </c:numRef>
          </c:val>
          <c:extLst>
            <c:ext xmlns:c16="http://schemas.microsoft.com/office/drawing/2014/chart" uri="{C3380CC4-5D6E-409C-BE32-E72D297353CC}">
              <c16:uniqueId val="{00000000-497B-4463-B715-85F7FFBF5DD8}"/>
            </c:ext>
          </c:extLst>
        </c:ser>
        <c:dLbls>
          <c:showLegendKey val="0"/>
          <c:showVal val="0"/>
          <c:showCatName val="0"/>
          <c:showSerName val="0"/>
          <c:showPercent val="0"/>
          <c:showBubbleSize val="0"/>
        </c:dLbls>
        <c:gapWidth val="219"/>
        <c:overlap val="-27"/>
        <c:axId val="395802879"/>
        <c:axId val="817067360"/>
      </c:barChart>
      <c:catAx>
        <c:axId val="395802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067360"/>
        <c:crosses val="autoZero"/>
        <c:auto val="1"/>
        <c:lblAlgn val="ctr"/>
        <c:lblOffset val="100"/>
        <c:noMultiLvlLbl val="0"/>
      </c:catAx>
      <c:valAx>
        <c:axId val="817067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8028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3</xdr:col>
      <xdr:colOff>235743</xdr:colOff>
      <xdr:row>16</xdr:row>
      <xdr:rowOff>176213</xdr:rowOff>
    </xdr:from>
    <xdr:to>
      <xdr:col>9</xdr:col>
      <xdr:colOff>588168</xdr:colOff>
      <xdr:row>32</xdr:row>
      <xdr:rowOff>23813</xdr:rowOff>
    </xdr:to>
    <xdr:graphicFrame macro="">
      <xdr:nvGraphicFramePr>
        <xdr:cNvPr id="2" name="Chart 1">
          <a:extLst>
            <a:ext uri="{FF2B5EF4-FFF2-40B4-BE49-F238E27FC236}">
              <a16:creationId xmlns:a16="http://schemas.microsoft.com/office/drawing/2014/main" id="{DC74B13C-8625-81BD-4290-5761FE3641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566738</xdr:colOff>
      <xdr:row>17</xdr:row>
      <xdr:rowOff>23812</xdr:rowOff>
    </xdr:from>
    <xdr:to>
      <xdr:col>2</xdr:col>
      <xdr:colOff>223838</xdr:colOff>
      <xdr:row>31</xdr:row>
      <xdr:rowOff>14287</xdr:rowOff>
    </xdr:to>
    <mc:AlternateContent xmlns:mc="http://schemas.openxmlformats.org/markup-compatibility/2006">
      <mc:Choice xmlns:a14="http://schemas.microsoft.com/office/drawing/2010/main" Requires="a14">
        <xdr:graphicFrame macro="">
          <xdr:nvGraphicFramePr>
            <xdr:cNvPr id="3" name="category">
              <a:extLst>
                <a:ext uri="{FF2B5EF4-FFF2-40B4-BE49-F238E27FC236}">
                  <a16:creationId xmlns:a16="http://schemas.microsoft.com/office/drawing/2014/main" id="{DAB5E6E1-E1DA-EA82-B76D-0131BB9DC28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566738" y="3100387"/>
              <a:ext cx="1828800" cy="2524125"/>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288131</xdr:colOff>
      <xdr:row>15</xdr:row>
      <xdr:rowOff>123825</xdr:rowOff>
    </xdr:from>
    <xdr:to>
      <xdr:col>12</xdr:col>
      <xdr:colOff>16668</xdr:colOff>
      <xdr:row>30</xdr:row>
      <xdr:rowOff>152400</xdr:rowOff>
    </xdr:to>
    <xdr:graphicFrame macro="">
      <xdr:nvGraphicFramePr>
        <xdr:cNvPr id="2" name="Chart 1">
          <a:extLst>
            <a:ext uri="{FF2B5EF4-FFF2-40B4-BE49-F238E27FC236}">
              <a16:creationId xmlns:a16="http://schemas.microsoft.com/office/drawing/2014/main" id="{7D05C4FD-A4C8-E707-5E36-A23BB78B1D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481012</xdr:colOff>
      <xdr:row>16</xdr:row>
      <xdr:rowOff>42861</xdr:rowOff>
    </xdr:from>
    <xdr:to>
      <xdr:col>1</xdr:col>
      <xdr:colOff>990599</xdr:colOff>
      <xdr:row>25</xdr:row>
      <xdr:rowOff>28575</xdr:rowOff>
    </xdr:to>
    <mc:AlternateContent xmlns:mc="http://schemas.openxmlformats.org/markup-compatibility/2006" xmlns:a14="http://schemas.microsoft.com/office/drawing/2010/main">
      <mc:Choice Requires="a14">
        <xdr:graphicFrame macro="">
          <xdr:nvGraphicFramePr>
            <xdr:cNvPr id="3" name="gender">
              <a:extLst>
                <a:ext uri="{FF2B5EF4-FFF2-40B4-BE49-F238E27FC236}">
                  <a16:creationId xmlns:a16="http://schemas.microsoft.com/office/drawing/2014/main" id="{5FBC5240-E654-6A5A-6833-58D7EA4DFA66}"/>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481012" y="2938461"/>
              <a:ext cx="1828800" cy="161448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592930</xdr:colOff>
      <xdr:row>11</xdr:row>
      <xdr:rowOff>152399</xdr:rowOff>
    </xdr:from>
    <xdr:to>
      <xdr:col>9</xdr:col>
      <xdr:colOff>583405</xdr:colOff>
      <xdr:row>26</xdr:row>
      <xdr:rowOff>180974</xdr:rowOff>
    </xdr:to>
    <xdr:graphicFrame macro="">
      <xdr:nvGraphicFramePr>
        <xdr:cNvPr id="2" name="Chart 1">
          <a:extLst>
            <a:ext uri="{FF2B5EF4-FFF2-40B4-BE49-F238E27FC236}">
              <a16:creationId xmlns:a16="http://schemas.microsoft.com/office/drawing/2014/main" id="{2513E5AB-A46B-D830-43E3-700F6CFA8C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290512</xdr:colOff>
      <xdr:row>13</xdr:row>
      <xdr:rowOff>161924</xdr:rowOff>
    </xdr:from>
    <xdr:to>
      <xdr:col>2</xdr:col>
      <xdr:colOff>52387</xdr:colOff>
      <xdr:row>20</xdr:row>
      <xdr:rowOff>76200</xdr:rowOff>
    </xdr:to>
    <mc:AlternateContent xmlns:mc="http://schemas.openxmlformats.org/markup-compatibility/2006" xmlns:a14="http://schemas.microsoft.com/office/drawing/2010/main">
      <mc:Choice Requires="a14">
        <xdr:graphicFrame macro="">
          <xdr:nvGraphicFramePr>
            <xdr:cNvPr id="3" name="Months (invoice_date)">
              <a:extLst>
                <a:ext uri="{FF2B5EF4-FFF2-40B4-BE49-F238E27FC236}">
                  <a16:creationId xmlns:a16="http://schemas.microsoft.com/office/drawing/2014/main" id="{09755CDE-2BAC-FAD9-A014-45DC4CE66918}"/>
                </a:ext>
              </a:extLst>
            </xdr:cNvPr>
            <xdr:cNvGraphicFramePr/>
          </xdr:nvGraphicFramePr>
          <xdr:xfrm>
            <a:off x="0" y="0"/>
            <a:ext cx="0" cy="0"/>
          </xdr:xfrm>
          <a:graphic>
            <a:graphicData uri="http://schemas.microsoft.com/office/drawing/2010/slicer">
              <sle:slicer xmlns:sle="http://schemas.microsoft.com/office/drawing/2010/slicer" name="Months (invoice_date)"/>
            </a:graphicData>
          </a:graphic>
        </xdr:graphicFrame>
      </mc:Choice>
      <mc:Fallback xmlns="">
        <xdr:sp macro="" textlink="">
          <xdr:nvSpPr>
            <xdr:cNvPr id="0" name=""/>
            <xdr:cNvSpPr>
              <a:spLocks noTextEdit="1"/>
            </xdr:cNvSpPr>
          </xdr:nvSpPr>
          <xdr:spPr>
            <a:xfrm>
              <a:off x="290512" y="2514599"/>
              <a:ext cx="1828800" cy="1181101"/>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226218</xdr:colOff>
      <xdr:row>7</xdr:row>
      <xdr:rowOff>85724</xdr:rowOff>
    </xdr:from>
    <xdr:to>
      <xdr:col>11</xdr:col>
      <xdr:colOff>602455</xdr:colOff>
      <xdr:row>22</xdr:row>
      <xdr:rowOff>114299</xdr:rowOff>
    </xdr:to>
    <xdr:graphicFrame macro="">
      <xdr:nvGraphicFramePr>
        <xdr:cNvPr id="2" name="Chart 1">
          <a:extLst>
            <a:ext uri="{FF2B5EF4-FFF2-40B4-BE49-F238E27FC236}">
              <a16:creationId xmlns:a16="http://schemas.microsoft.com/office/drawing/2014/main" id="{EAD5B18E-F16B-144E-5FB2-F5045636B9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438150</xdr:colOff>
      <xdr:row>7</xdr:row>
      <xdr:rowOff>171450</xdr:rowOff>
    </xdr:from>
    <xdr:to>
      <xdr:col>1</xdr:col>
      <xdr:colOff>947737</xdr:colOff>
      <xdr:row>21</xdr:row>
      <xdr:rowOff>161925</xdr:rowOff>
    </xdr:to>
    <mc:AlternateContent xmlns:mc="http://schemas.openxmlformats.org/markup-compatibility/2006" xmlns:a14="http://schemas.microsoft.com/office/drawing/2010/main">
      <mc:Choice Requires="a14">
        <xdr:graphicFrame macro="">
          <xdr:nvGraphicFramePr>
            <xdr:cNvPr id="3" name="age group">
              <a:extLst>
                <a:ext uri="{FF2B5EF4-FFF2-40B4-BE49-F238E27FC236}">
                  <a16:creationId xmlns:a16="http://schemas.microsoft.com/office/drawing/2014/main" id="{1E2746AD-E0D9-C78F-1D9D-8483021AD7DB}"/>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438150" y="1438275"/>
              <a:ext cx="1828800" cy="2524125"/>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623887</xdr:colOff>
      <xdr:row>3</xdr:row>
      <xdr:rowOff>90488</xdr:rowOff>
    </xdr:from>
    <xdr:to>
      <xdr:col>18</xdr:col>
      <xdr:colOff>14287</xdr:colOff>
      <xdr:row>18</xdr:row>
      <xdr:rowOff>119063</xdr:rowOff>
    </xdr:to>
    <xdr:graphicFrame macro="">
      <xdr:nvGraphicFramePr>
        <xdr:cNvPr id="3" name="Chart 2">
          <a:extLst>
            <a:ext uri="{FF2B5EF4-FFF2-40B4-BE49-F238E27FC236}">
              <a16:creationId xmlns:a16="http://schemas.microsoft.com/office/drawing/2014/main" id="{5F03CB03-CB67-4559-8E47-11C8542A7D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538163</xdr:colOff>
      <xdr:row>3</xdr:row>
      <xdr:rowOff>90488</xdr:rowOff>
    </xdr:from>
    <xdr:to>
      <xdr:col>10</xdr:col>
      <xdr:colOff>576263</xdr:colOff>
      <xdr:row>18</xdr:row>
      <xdr:rowOff>119063</xdr:rowOff>
    </xdr:to>
    <xdr:graphicFrame macro="">
      <xdr:nvGraphicFramePr>
        <xdr:cNvPr id="4" name="Chart 3">
          <a:extLst>
            <a:ext uri="{FF2B5EF4-FFF2-40B4-BE49-F238E27FC236}">
              <a16:creationId xmlns:a16="http://schemas.microsoft.com/office/drawing/2014/main" id="{55D9BEDF-8BD5-49CC-AA9A-53A1FE4ED4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528637</xdr:colOff>
      <xdr:row>19</xdr:row>
      <xdr:rowOff>52387</xdr:rowOff>
    </xdr:from>
    <xdr:to>
      <xdr:col>10</xdr:col>
      <xdr:colOff>576262</xdr:colOff>
      <xdr:row>34</xdr:row>
      <xdr:rowOff>80962</xdr:rowOff>
    </xdr:to>
    <xdr:graphicFrame macro="">
      <xdr:nvGraphicFramePr>
        <xdr:cNvPr id="6" name="Chart 5">
          <a:extLst>
            <a:ext uri="{FF2B5EF4-FFF2-40B4-BE49-F238E27FC236}">
              <a16:creationId xmlns:a16="http://schemas.microsoft.com/office/drawing/2014/main" id="{C6DF98F7-F56F-480B-9DC1-DD733BC61F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628650</xdr:colOff>
      <xdr:row>19</xdr:row>
      <xdr:rowOff>52387</xdr:rowOff>
    </xdr:from>
    <xdr:to>
      <xdr:col>18</xdr:col>
      <xdr:colOff>19049</xdr:colOff>
      <xdr:row>34</xdr:row>
      <xdr:rowOff>80962</xdr:rowOff>
    </xdr:to>
    <xdr:graphicFrame macro="">
      <xdr:nvGraphicFramePr>
        <xdr:cNvPr id="7" name="Chart 6">
          <a:extLst>
            <a:ext uri="{FF2B5EF4-FFF2-40B4-BE49-F238E27FC236}">
              <a16:creationId xmlns:a16="http://schemas.microsoft.com/office/drawing/2014/main" id="{8EA77BD9-0A6F-4806-8D62-50BAE24DBB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3</xdr:row>
      <xdr:rowOff>1</xdr:rowOff>
    </xdr:from>
    <xdr:to>
      <xdr:col>3</xdr:col>
      <xdr:colOff>361950</xdr:colOff>
      <xdr:row>12</xdr:row>
      <xdr:rowOff>28576</xdr:rowOff>
    </xdr:to>
    <mc:AlternateContent xmlns:mc="http://schemas.openxmlformats.org/markup-compatibility/2006" xmlns:a14="http://schemas.microsoft.com/office/drawing/2010/main">
      <mc:Choice Requires="a14">
        <xdr:graphicFrame macro="">
          <xdr:nvGraphicFramePr>
            <xdr:cNvPr id="8" name="category 1">
              <a:extLst>
                <a:ext uri="{FF2B5EF4-FFF2-40B4-BE49-F238E27FC236}">
                  <a16:creationId xmlns:a16="http://schemas.microsoft.com/office/drawing/2014/main" id="{A1C854E9-91A5-477E-960D-14736F4A503A}"/>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0" y="1171576"/>
              <a:ext cx="2305050" cy="16573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12</xdr:row>
      <xdr:rowOff>85725</xdr:rowOff>
    </xdr:from>
    <xdr:to>
      <xdr:col>3</xdr:col>
      <xdr:colOff>366713</xdr:colOff>
      <xdr:row>17</xdr:row>
      <xdr:rowOff>71438</xdr:rowOff>
    </xdr:to>
    <mc:AlternateContent xmlns:mc="http://schemas.openxmlformats.org/markup-compatibility/2006" xmlns:a14="http://schemas.microsoft.com/office/drawing/2010/main">
      <mc:Choice Requires="a14">
        <xdr:graphicFrame macro="">
          <xdr:nvGraphicFramePr>
            <xdr:cNvPr id="10" name="gender 1">
              <a:extLst>
                <a:ext uri="{FF2B5EF4-FFF2-40B4-BE49-F238E27FC236}">
                  <a16:creationId xmlns:a16="http://schemas.microsoft.com/office/drawing/2014/main" id="{9A1E71B4-144E-4E04-B719-1F9C4D626AF9}"/>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0" y="2886075"/>
              <a:ext cx="2309813" cy="890588"/>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xdr:colOff>
      <xdr:row>17</xdr:row>
      <xdr:rowOff>166688</xdr:rowOff>
    </xdr:from>
    <xdr:to>
      <xdr:col>3</xdr:col>
      <xdr:colOff>400050</xdr:colOff>
      <xdr:row>24</xdr:row>
      <xdr:rowOff>109538</xdr:rowOff>
    </xdr:to>
    <mc:AlternateContent xmlns:mc="http://schemas.openxmlformats.org/markup-compatibility/2006" xmlns:a14="http://schemas.microsoft.com/office/drawing/2010/main">
      <mc:Choice Requires="a14">
        <xdr:graphicFrame macro="">
          <xdr:nvGraphicFramePr>
            <xdr:cNvPr id="11" name="Months (invoice_date) 1">
              <a:extLst>
                <a:ext uri="{FF2B5EF4-FFF2-40B4-BE49-F238E27FC236}">
                  <a16:creationId xmlns:a16="http://schemas.microsoft.com/office/drawing/2014/main" id="{0257120C-AADE-4BA8-A565-E7534B83B993}"/>
                </a:ext>
              </a:extLst>
            </xdr:cNvPr>
            <xdr:cNvGraphicFramePr/>
          </xdr:nvGraphicFramePr>
          <xdr:xfrm>
            <a:off x="0" y="0"/>
            <a:ext cx="0" cy="0"/>
          </xdr:xfrm>
          <a:graphic>
            <a:graphicData uri="http://schemas.microsoft.com/office/drawing/2010/slicer">
              <sle:slicer xmlns:sle="http://schemas.microsoft.com/office/drawing/2010/slicer" name="Months (invoice_date) 1"/>
            </a:graphicData>
          </a:graphic>
        </xdr:graphicFrame>
      </mc:Choice>
      <mc:Fallback xmlns="">
        <xdr:sp macro="" textlink="">
          <xdr:nvSpPr>
            <xdr:cNvPr id="0" name=""/>
            <xdr:cNvSpPr>
              <a:spLocks noTextEdit="1"/>
            </xdr:cNvSpPr>
          </xdr:nvSpPr>
          <xdr:spPr>
            <a:xfrm>
              <a:off x="9525" y="3871913"/>
              <a:ext cx="2333625" cy="1209675"/>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25</xdr:row>
      <xdr:rowOff>42862</xdr:rowOff>
    </xdr:from>
    <xdr:to>
      <xdr:col>3</xdr:col>
      <xdr:colOff>400050</xdr:colOff>
      <xdr:row>34</xdr:row>
      <xdr:rowOff>80962</xdr:rowOff>
    </xdr:to>
    <mc:AlternateContent xmlns:mc="http://schemas.openxmlformats.org/markup-compatibility/2006" xmlns:a14="http://schemas.microsoft.com/office/drawing/2010/main">
      <mc:Choice Requires="a14">
        <xdr:graphicFrame macro="">
          <xdr:nvGraphicFramePr>
            <xdr:cNvPr id="13" name="age group 1">
              <a:extLst>
                <a:ext uri="{FF2B5EF4-FFF2-40B4-BE49-F238E27FC236}">
                  <a16:creationId xmlns:a16="http://schemas.microsoft.com/office/drawing/2014/main" id="{01C8810C-0A60-432F-89BC-A4C2A0F0FB7A}"/>
                </a:ext>
              </a:extLst>
            </xdr:cNvPr>
            <xdr:cNvGraphicFramePr/>
          </xdr:nvGraphicFramePr>
          <xdr:xfrm>
            <a:off x="0" y="0"/>
            <a:ext cx="0" cy="0"/>
          </xdr:xfrm>
          <a:graphic>
            <a:graphicData uri="http://schemas.microsoft.com/office/drawing/2010/slicer">
              <sle:slicer xmlns:sle="http://schemas.microsoft.com/office/drawing/2010/slicer" name="age group 1"/>
            </a:graphicData>
          </a:graphic>
        </xdr:graphicFrame>
      </mc:Choice>
      <mc:Fallback xmlns="">
        <xdr:sp macro="" textlink="">
          <xdr:nvSpPr>
            <xdr:cNvPr id="0" name=""/>
            <xdr:cNvSpPr>
              <a:spLocks noTextEdit="1"/>
            </xdr:cNvSpPr>
          </xdr:nvSpPr>
          <xdr:spPr>
            <a:xfrm>
              <a:off x="0" y="5195887"/>
              <a:ext cx="2343150" cy="1666875"/>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hs" refreshedDate="45311.360545949072" createdVersion="8" refreshedVersion="8" minRefreshableVersion="3" recordCount="249" xr:uid="{00000000-000A-0000-FFFF-FFFF0C000000}">
  <cacheSource type="worksheet">
    <worksheetSource name="sahil"/>
  </cacheSource>
  <cacheFields count="14">
    <cacheField name="invoice_no" numFmtId="0">
      <sharedItems/>
    </cacheField>
    <cacheField name="customer_id" numFmtId="0">
      <sharedItems/>
    </cacheField>
    <cacheField name="gender" numFmtId="0">
      <sharedItems count="2">
        <s v="Male"/>
        <s v="Female"/>
      </sharedItems>
    </cacheField>
    <cacheField name="age" numFmtId="164">
      <sharedItems containsSemiMixedTypes="0" containsString="0" containsNumber="1" containsInteger="1" minValue="18" maxValue="69"/>
    </cacheField>
    <cacheField name="category" numFmtId="0">
      <sharedItems count="8">
        <s v="Food &amp; Beverage"/>
        <s v="Toys"/>
        <s v="Clothing"/>
        <s v="Books"/>
        <s v="Technology"/>
        <s v="Shoes"/>
        <s v="Cosmetics"/>
        <s v="Souvenir"/>
      </sharedItems>
    </cacheField>
    <cacheField name="quantity" numFmtId="0">
      <sharedItems containsSemiMixedTypes="0" containsString="0" containsNumber="1" containsInteger="1" minValue="1" maxValue="5"/>
    </cacheField>
    <cacheField name="price" numFmtId="44">
      <sharedItems containsSemiMixedTypes="0" containsString="0" containsNumber="1" minValue="5.23" maxValue="5250"/>
    </cacheField>
    <cacheField name="payment_method" numFmtId="0">
      <sharedItems count="3">
        <s v="Credit Card"/>
        <s v="Cash"/>
        <s v="Debit Card"/>
      </sharedItems>
    </cacheField>
    <cacheField name="invoice_date" numFmtId="14">
      <sharedItems containsSemiMixedTypes="0" containsNonDate="0" containsDate="1" containsString="0" minDate="2023-01-01T00:00:00" maxDate="2023-03-09T00:00:00" count="67">
        <d v="2023-01-04T00:00:00"/>
        <d v="2023-01-07T00:00:00"/>
        <d v="2023-01-22T00:00:00"/>
        <d v="2023-02-10T00:00:00"/>
        <d v="2023-01-12T00:00:00"/>
        <d v="2023-01-06T00:00:00"/>
        <d v="2023-01-15T00:00:00"/>
        <d v="2023-02-20T00:00:00"/>
        <d v="2023-01-19T00:00:00"/>
        <d v="2023-01-13T00:00:00"/>
        <d v="2023-03-02T00:00:00"/>
        <d v="2023-02-16T00:00:00"/>
        <d v="2023-01-08T00:00:00"/>
        <d v="2023-01-29T00:00:00"/>
        <d v="2023-02-27T00:00:00"/>
        <d v="2023-01-17T00:00:00"/>
        <d v="2023-02-24T00:00:00"/>
        <d v="2023-01-01T00:00:00"/>
        <d v="2023-03-03T00:00:00"/>
        <d v="2023-01-31T00:00:00"/>
        <d v="2023-01-24T00:00:00"/>
        <d v="2023-02-23T00:00:00"/>
        <d v="2023-02-13T00:00:00"/>
        <d v="2023-01-18T00:00:00"/>
        <d v="2023-03-05T00:00:00"/>
        <d v="2023-01-02T00:00:00"/>
        <d v="2023-02-01T00:00:00"/>
        <d v="2023-02-21T00:00:00"/>
        <d v="2023-02-17T00:00:00"/>
        <d v="2023-02-04T00:00:00"/>
        <d v="2023-03-07T00:00:00"/>
        <d v="2023-02-06T00:00:00"/>
        <d v="2023-01-20T00:00:00"/>
        <d v="2023-03-04T00:00:00"/>
        <d v="2023-02-18T00:00:00"/>
        <d v="2023-03-06T00:00:00"/>
        <d v="2023-02-02T00:00:00"/>
        <d v="2023-02-07T00:00:00"/>
        <d v="2023-01-30T00:00:00"/>
        <d v="2023-01-03T00:00:00"/>
        <d v="2023-01-16T00:00:00"/>
        <d v="2023-02-03T00:00:00"/>
        <d v="2023-02-19T00:00:00"/>
        <d v="2023-02-09T00:00:00"/>
        <d v="2023-03-08T00:00:00"/>
        <d v="2023-01-11T00:00:00"/>
        <d v="2023-02-26T00:00:00"/>
        <d v="2023-01-25T00:00:00"/>
        <d v="2023-02-08T00:00:00"/>
        <d v="2023-02-28T00:00:00"/>
        <d v="2023-02-25T00:00:00"/>
        <d v="2023-01-10T00:00:00"/>
        <d v="2023-01-27T00:00:00"/>
        <d v="2023-02-12T00:00:00"/>
        <d v="2023-02-15T00:00:00"/>
        <d v="2023-01-28T00:00:00"/>
        <d v="2023-03-01T00:00:00"/>
        <d v="2023-01-14T00:00:00"/>
        <d v="2023-01-23T00:00:00"/>
        <d v="2023-01-26T00:00:00"/>
        <d v="2023-01-21T00:00:00"/>
        <d v="2023-01-09T00:00:00"/>
        <d v="2023-01-05T00:00:00"/>
        <d v="2023-02-05T00:00:00"/>
        <d v="2023-02-22T00:00:00"/>
        <d v="2023-02-11T00:00:00"/>
        <d v="2023-02-14T00:00:00"/>
      </sharedItems>
      <fieldGroup par="13"/>
    </cacheField>
    <cacheField name="shopping_mall" numFmtId="0">
      <sharedItems count="10">
        <s v="Emaar Square Mall"/>
        <s v="Metropol AVM"/>
        <s v="Metrocity"/>
        <s v="Istinye Park"/>
        <s v="Kanyon"/>
        <s v="Mall of Istanbul"/>
        <s v="Cevahir AVM"/>
        <s v="Forum Istanbul"/>
        <s v="Zorlu Center"/>
        <s v="Viaport Outlet"/>
      </sharedItems>
    </cacheField>
    <cacheField name="sales" numFmtId="44">
      <sharedItems containsSemiMixedTypes="0" containsString="0" containsNumber="1" minValue="5.23" maxValue="26250"/>
    </cacheField>
    <cacheField name="age group" numFmtId="44">
      <sharedItems count="6">
        <s v="65-69"/>
        <s v="55-64"/>
        <s v="45-54"/>
        <s v="35-44"/>
        <s v="25-34"/>
        <s v="18-24"/>
      </sharedItems>
    </cacheField>
    <cacheField name="Days (invoice_date)" numFmtId="0" databaseField="0">
      <fieldGroup base="8">
        <rangePr groupBy="days" startDate="2023-01-01T00:00:00" endDate="2023-03-09T00:00:00"/>
        <groupItems count="368">
          <s v="&lt;1/01/2023"/>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9/03/2023"/>
        </groupItems>
      </fieldGroup>
    </cacheField>
    <cacheField name="Months (invoice_date)" numFmtId="0" databaseField="0">
      <fieldGroup base="8">
        <rangePr groupBy="months" startDate="2023-01-01T00:00:00" endDate="2023-03-09T00:00:00"/>
        <groupItems count="14">
          <s v="&lt;1/01/2023"/>
          <s v="Jan"/>
          <s v="Feb"/>
          <s v="Mar"/>
          <s v="Apr"/>
          <s v="May"/>
          <s v="Jun"/>
          <s v="Jul"/>
          <s v="Aug"/>
          <s v="Sep"/>
          <s v="Oct"/>
          <s v="Nov"/>
          <s v="Dec"/>
          <s v="&gt;9/03/2023"/>
        </groupItems>
      </fieldGroup>
    </cacheField>
  </cacheFields>
  <extLst>
    <ext xmlns:x14="http://schemas.microsoft.com/office/spreadsheetml/2009/9/main" uri="{725AE2AE-9491-48be-B2B4-4EB974FC3084}">
      <x14:pivotCacheDefinition pivotCacheId="3753202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9">
  <r>
    <s v="I339732"/>
    <s v="C276887"/>
    <x v="0"/>
    <n v="68"/>
    <x v="0"/>
    <n v="1"/>
    <n v="5.23"/>
    <x v="0"/>
    <x v="0"/>
    <x v="0"/>
    <n v="5.23"/>
    <x v="0"/>
  </r>
  <r>
    <s v="I260525"/>
    <s v="C258404"/>
    <x v="0"/>
    <n v="67"/>
    <x v="1"/>
    <n v="3"/>
    <n v="107.52"/>
    <x v="1"/>
    <x v="1"/>
    <x v="0"/>
    <n v="322.56"/>
    <x v="0"/>
  </r>
  <r>
    <s v="I195567"/>
    <s v="C992677"/>
    <x v="0"/>
    <n v="65"/>
    <x v="2"/>
    <n v="4"/>
    <n v="1200.32"/>
    <x v="2"/>
    <x v="2"/>
    <x v="1"/>
    <n v="4801.28"/>
    <x v="0"/>
  </r>
  <r>
    <s v="I423124"/>
    <s v="C109593"/>
    <x v="1"/>
    <n v="66"/>
    <x v="2"/>
    <n v="1"/>
    <n v="300.08"/>
    <x v="1"/>
    <x v="1"/>
    <x v="2"/>
    <n v="300.08"/>
    <x v="0"/>
  </r>
  <r>
    <s v="I158486"/>
    <s v="C858536"/>
    <x v="1"/>
    <n v="65"/>
    <x v="0"/>
    <n v="3"/>
    <n v="15.69"/>
    <x v="0"/>
    <x v="3"/>
    <x v="3"/>
    <n v="47.07"/>
    <x v="0"/>
  </r>
  <r>
    <s v="I186033"/>
    <s v="C766767"/>
    <x v="0"/>
    <n v="67"/>
    <x v="3"/>
    <n v="5"/>
    <n v="75.75"/>
    <x v="1"/>
    <x v="4"/>
    <x v="4"/>
    <n v="378.75"/>
    <x v="0"/>
  </r>
  <r>
    <s v="I145770"/>
    <s v="C709824"/>
    <x v="1"/>
    <n v="68"/>
    <x v="4"/>
    <n v="4"/>
    <n v="4200"/>
    <x v="2"/>
    <x v="5"/>
    <x v="0"/>
    <n v="16800"/>
    <x v="0"/>
  </r>
  <r>
    <s v="I301174"/>
    <s v="C119219"/>
    <x v="1"/>
    <n v="68"/>
    <x v="5"/>
    <n v="2"/>
    <n v="1200.3399999999999"/>
    <x v="0"/>
    <x v="6"/>
    <x v="2"/>
    <n v="2400.6799999999998"/>
    <x v="0"/>
  </r>
  <r>
    <s v="I329009"/>
    <s v="C198161"/>
    <x v="1"/>
    <n v="68"/>
    <x v="6"/>
    <n v="4"/>
    <n v="162.63999999999999"/>
    <x v="0"/>
    <x v="7"/>
    <x v="5"/>
    <n v="650.55999999999995"/>
    <x v="0"/>
  </r>
  <r>
    <s v="I716275"/>
    <s v="C894269"/>
    <x v="1"/>
    <n v="69"/>
    <x v="5"/>
    <n v="4"/>
    <n v="2400.6799999999998"/>
    <x v="2"/>
    <x v="8"/>
    <x v="1"/>
    <n v="9602.7199999999993"/>
    <x v="0"/>
  </r>
  <r>
    <s v="I339346"/>
    <s v="C144276"/>
    <x v="1"/>
    <n v="66"/>
    <x v="0"/>
    <n v="5"/>
    <n v="26.15"/>
    <x v="0"/>
    <x v="9"/>
    <x v="5"/>
    <n v="130.75"/>
    <x v="0"/>
  </r>
  <r>
    <s v="I201709"/>
    <s v="C210240"/>
    <x v="1"/>
    <n v="69"/>
    <x v="7"/>
    <n v="5"/>
    <n v="58.65"/>
    <x v="0"/>
    <x v="10"/>
    <x v="5"/>
    <n v="293.25"/>
    <x v="0"/>
  </r>
  <r>
    <s v="I868553"/>
    <s v="C105764"/>
    <x v="0"/>
    <n v="67"/>
    <x v="7"/>
    <n v="2"/>
    <n v="23.46"/>
    <x v="1"/>
    <x v="11"/>
    <x v="0"/>
    <n v="46.92"/>
    <x v="0"/>
  </r>
  <r>
    <s v="I128667"/>
    <s v="C187422"/>
    <x v="1"/>
    <n v="69"/>
    <x v="2"/>
    <n v="2"/>
    <n v="600.16"/>
    <x v="1"/>
    <x v="12"/>
    <x v="1"/>
    <n v="1200.32"/>
    <x v="0"/>
  </r>
  <r>
    <s v="I150364"/>
    <s v="C134039"/>
    <x v="1"/>
    <n v="69"/>
    <x v="0"/>
    <n v="5"/>
    <n v="26.15"/>
    <x v="0"/>
    <x v="13"/>
    <x v="2"/>
    <n v="130.75"/>
    <x v="0"/>
  </r>
  <r>
    <s v="I139745"/>
    <s v="C117351"/>
    <x v="1"/>
    <n v="69"/>
    <x v="4"/>
    <n v="2"/>
    <n v="2100"/>
    <x v="1"/>
    <x v="7"/>
    <x v="3"/>
    <n v="4200"/>
    <x v="0"/>
  </r>
  <r>
    <s v="I156932"/>
    <s v="C262657"/>
    <x v="1"/>
    <n v="69"/>
    <x v="2"/>
    <n v="5"/>
    <n v="1500.4"/>
    <x v="0"/>
    <x v="11"/>
    <x v="4"/>
    <n v="7502"/>
    <x v="0"/>
  </r>
  <r>
    <s v="I165270"/>
    <s v="C140342"/>
    <x v="1"/>
    <n v="68"/>
    <x v="2"/>
    <n v="5"/>
    <n v="1500.4"/>
    <x v="0"/>
    <x v="14"/>
    <x v="5"/>
    <n v="7502"/>
    <x v="0"/>
  </r>
  <r>
    <s v="I955408"/>
    <s v="C274639"/>
    <x v="1"/>
    <n v="69"/>
    <x v="2"/>
    <n v="1"/>
    <n v="300.08"/>
    <x v="1"/>
    <x v="14"/>
    <x v="4"/>
    <n v="300.08"/>
    <x v="0"/>
  </r>
  <r>
    <s v="I760747"/>
    <s v="C370083"/>
    <x v="0"/>
    <n v="68"/>
    <x v="2"/>
    <n v="2"/>
    <n v="600.16"/>
    <x v="0"/>
    <x v="14"/>
    <x v="4"/>
    <n v="1200.32"/>
    <x v="0"/>
  </r>
  <r>
    <s v="I250203"/>
    <s v="C226800"/>
    <x v="1"/>
    <n v="65"/>
    <x v="4"/>
    <n v="2"/>
    <n v="2100"/>
    <x v="0"/>
    <x v="15"/>
    <x v="5"/>
    <n v="4200"/>
    <x v="0"/>
  </r>
  <r>
    <s v="I135566"/>
    <s v="C306867"/>
    <x v="0"/>
    <n v="68"/>
    <x v="2"/>
    <n v="2"/>
    <n v="600.16"/>
    <x v="1"/>
    <x v="16"/>
    <x v="1"/>
    <n v="1200.32"/>
    <x v="0"/>
  </r>
  <r>
    <s v="I241446"/>
    <s v="C214743"/>
    <x v="0"/>
    <n v="67"/>
    <x v="1"/>
    <n v="2"/>
    <n v="71.680000000000007"/>
    <x v="1"/>
    <x v="17"/>
    <x v="4"/>
    <n v="143.36000000000001"/>
    <x v="0"/>
  </r>
  <r>
    <s v="I166626"/>
    <s v="C332667"/>
    <x v="1"/>
    <n v="66"/>
    <x v="2"/>
    <n v="4"/>
    <n v="1200.32"/>
    <x v="2"/>
    <x v="18"/>
    <x v="2"/>
    <n v="4801.28"/>
    <x v="0"/>
  </r>
  <r>
    <s v="I327961"/>
    <s v="C252500"/>
    <x v="0"/>
    <n v="65"/>
    <x v="7"/>
    <n v="2"/>
    <n v="23.46"/>
    <x v="1"/>
    <x v="16"/>
    <x v="6"/>
    <n v="46.92"/>
    <x v="0"/>
  </r>
  <r>
    <s v="I105654"/>
    <s v="C227568"/>
    <x v="1"/>
    <n v="68"/>
    <x v="2"/>
    <n v="5"/>
    <n v="1500.4"/>
    <x v="0"/>
    <x v="19"/>
    <x v="4"/>
    <n v="7502"/>
    <x v="0"/>
  </r>
  <r>
    <s v="I321683"/>
    <s v="C542025"/>
    <x v="0"/>
    <n v="60"/>
    <x v="6"/>
    <n v="4"/>
    <n v="162.63999999999999"/>
    <x v="0"/>
    <x v="5"/>
    <x v="2"/>
    <n v="650.55999999999995"/>
    <x v="1"/>
  </r>
  <r>
    <s v="I985478"/>
    <s v="C324683"/>
    <x v="0"/>
    <n v="55"/>
    <x v="2"/>
    <n v="4"/>
    <n v="1200.32"/>
    <x v="0"/>
    <x v="20"/>
    <x v="4"/>
    <n v="4801.28"/>
    <x v="1"/>
  </r>
  <r>
    <s v="I504141"/>
    <s v="C558480"/>
    <x v="1"/>
    <n v="56"/>
    <x v="6"/>
    <n v="1"/>
    <n v="40.659999999999997"/>
    <x v="0"/>
    <x v="21"/>
    <x v="4"/>
    <n v="40.659999999999997"/>
    <x v="1"/>
  </r>
  <r>
    <s v="I264491"/>
    <s v="C107261"/>
    <x v="1"/>
    <n v="63"/>
    <x v="6"/>
    <n v="5"/>
    <n v="203.3"/>
    <x v="0"/>
    <x v="22"/>
    <x v="1"/>
    <n v="1016.5"/>
    <x v="1"/>
  </r>
  <r>
    <s v="I208491"/>
    <s v="C299172"/>
    <x v="0"/>
    <n v="56"/>
    <x v="2"/>
    <n v="1"/>
    <n v="300.08"/>
    <x v="1"/>
    <x v="23"/>
    <x v="4"/>
    <n v="300.08"/>
    <x v="1"/>
  </r>
  <r>
    <s v="I291062"/>
    <s v="C209122"/>
    <x v="1"/>
    <n v="56"/>
    <x v="6"/>
    <n v="4"/>
    <n v="162.63999999999999"/>
    <x v="0"/>
    <x v="24"/>
    <x v="4"/>
    <n v="650.55999999999995"/>
    <x v="1"/>
  </r>
  <r>
    <s v="I648743"/>
    <s v="C218295"/>
    <x v="1"/>
    <n v="61"/>
    <x v="5"/>
    <n v="5"/>
    <n v="3000.85"/>
    <x v="2"/>
    <x v="25"/>
    <x v="5"/>
    <n v="15004.25"/>
    <x v="1"/>
  </r>
  <r>
    <s v="I145917"/>
    <s v="C272419"/>
    <x v="1"/>
    <n v="62"/>
    <x v="6"/>
    <n v="5"/>
    <n v="203.3"/>
    <x v="0"/>
    <x v="26"/>
    <x v="7"/>
    <n v="1016.5"/>
    <x v="1"/>
  </r>
  <r>
    <s v="I131869"/>
    <s v="C267843"/>
    <x v="0"/>
    <n v="58"/>
    <x v="0"/>
    <n v="1"/>
    <n v="5.23"/>
    <x v="2"/>
    <x v="13"/>
    <x v="4"/>
    <n v="5.23"/>
    <x v="1"/>
  </r>
  <r>
    <s v="I338411"/>
    <s v="C884264"/>
    <x v="0"/>
    <n v="60"/>
    <x v="3"/>
    <n v="5"/>
    <n v="75.75"/>
    <x v="0"/>
    <x v="15"/>
    <x v="5"/>
    <n v="378.75"/>
    <x v="1"/>
  </r>
  <r>
    <s v="I788206"/>
    <s v="C249725"/>
    <x v="1"/>
    <n v="62"/>
    <x v="6"/>
    <n v="2"/>
    <n v="81.319999999999993"/>
    <x v="0"/>
    <x v="27"/>
    <x v="3"/>
    <n v="162.63999999999999"/>
    <x v="1"/>
  </r>
  <r>
    <s v="I262240"/>
    <s v="C105474"/>
    <x v="1"/>
    <n v="55"/>
    <x v="6"/>
    <n v="1"/>
    <n v="40.659999999999997"/>
    <x v="0"/>
    <x v="6"/>
    <x v="5"/>
    <n v="40.659999999999997"/>
    <x v="1"/>
  </r>
  <r>
    <s v="I176867"/>
    <s v="C462416"/>
    <x v="1"/>
    <n v="63"/>
    <x v="2"/>
    <n v="2"/>
    <n v="600.16"/>
    <x v="0"/>
    <x v="22"/>
    <x v="2"/>
    <n v="1200.32"/>
    <x v="1"/>
  </r>
  <r>
    <s v="I249846"/>
    <s v="C832010"/>
    <x v="1"/>
    <n v="59"/>
    <x v="0"/>
    <n v="2"/>
    <n v="10.46"/>
    <x v="2"/>
    <x v="28"/>
    <x v="4"/>
    <n v="20.92"/>
    <x v="1"/>
  </r>
  <r>
    <s v="I215044"/>
    <s v="C184322"/>
    <x v="1"/>
    <n v="61"/>
    <x v="6"/>
    <n v="1"/>
    <n v="40.659999999999997"/>
    <x v="1"/>
    <x v="8"/>
    <x v="7"/>
    <n v="40.659999999999997"/>
    <x v="1"/>
  </r>
  <r>
    <s v="I752293"/>
    <s v="C211763"/>
    <x v="0"/>
    <n v="63"/>
    <x v="2"/>
    <n v="4"/>
    <n v="1200.32"/>
    <x v="1"/>
    <x v="10"/>
    <x v="8"/>
    <n v="4801.28"/>
    <x v="1"/>
  </r>
  <r>
    <s v="I145120"/>
    <s v="C293612"/>
    <x v="1"/>
    <n v="60"/>
    <x v="2"/>
    <n v="4"/>
    <n v="1200.32"/>
    <x v="2"/>
    <x v="29"/>
    <x v="2"/>
    <n v="4801.28"/>
    <x v="1"/>
  </r>
  <r>
    <s v="I304606"/>
    <s v="C316806"/>
    <x v="0"/>
    <n v="64"/>
    <x v="2"/>
    <n v="4"/>
    <n v="1200.32"/>
    <x v="1"/>
    <x v="30"/>
    <x v="2"/>
    <n v="4801.28"/>
    <x v="1"/>
  </r>
  <r>
    <s v="I231403"/>
    <s v="C230619"/>
    <x v="0"/>
    <n v="64"/>
    <x v="6"/>
    <n v="5"/>
    <n v="203.3"/>
    <x v="1"/>
    <x v="31"/>
    <x v="5"/>
    <n v="1016.5"/>
    <x v="1"/>
  </r>
  <r>
    <s v="I980023"/>
    <s v="C120118"/>
    <x v="0"/>
    <n v="55"/>
    <x v="6"/>
    <n v="5"/>
    <n v="203.3"/>
    <x v="0"/>
    <x v="32"/>
    <x v="2"/>
    <n v="1016.5"/>
    <x v="1"/>
  </r>
  <r>
    <s v="I245816"/>
    <s v="C310676"/>
    <x v="1"/>
    <n v="59"/>
    <x v="2"/>
    <n v="5"/>
    <n v="1500.4"/>
    <x v="2"/>
    <x v="8"/>
    <x v="0"/>
    <n v="7502"/>
    <x v="1"/>
  </r>
  <r>
    <s v="I340342"/>
    <s v="C295466"/>
    <x v="0"/>
    <n v="55"/>
    <x v="0"/>
    <n v="1"/>
    <n v="5.23"/>
    <x v="1"/>
    <x v="33"/>
    <x v="2"/>
    <n v="5.23"/>
    <x v="1"/>
  </r>
  <r>
    <s v="I227236"/>
    <s v="C273853"/>
    <x v="1"/>
    <n v="62"/>
    <x v="5"/>
    <n v="3"/>
    <n v="1800.51"/>
    <x v="2"/>
    <x v="34"/>
    <x v="5"/>
    <n v="5401.53"/>
    <x v="1"/>
  </r>
  <r>
    <s v="I108567"/>
    <s v="C488263"/>
    <x v="1"/>
    <n v="64"/>
    <x v="2"/>
    <n v="1"/>
    <n v="300.08"/>
    <x v="1"/>
    <x v="13"/>
    <x v="2"/>
    <n v="300.08"/>
    <x v="1"/>
  </r>
  <r>
    <s v="I298023"/>
    <s v="C828402"/>
    <x v="0"/>
    <n v="64"/>
    <x v="0"/>
    <n v="1"/>
    <n v="5.23"/>
    <x v="1"/>
    <x v="35"/>
    <x v="9"/>
    <n v="5.23"/>
    <x v="1"/>
  </r>
  <r>
    <s v="I283507"/>
    <s v="C268455"/>
    <x v="1"/>
    <n v="64"/>
    <x v="2"/>
    <n v="3"/>
    <n v="900.24"/>
    <x v="2"/>
    <x v="36"/>
    <x v="5"/>
    <n v="2700.7200000000003"/>
    <x v="1"/>
  </r>
  <r>
    <s v="I192662"/>
    <s v="C238146"/>
    <x v="0"/>
    <n v="55"/>
    <x v="2"/>
    <n v="3"/>
    <n v="900.24"/>
    <x v="0"/>
    <x v="27"/>
    <x v="3"/>
    <n v="2700.7200000000003"/>
    <x v="1"/>
  </r>
  <r>
    <s v="I233758"/>
    <s v="C325757"/>
    <x v="1"/>
    <n v="61"/>
    <x v="2"/>
    <n v="3"/>
    <n v="900.24"/>
    <x v="1"/>
    <x v="2"/>
    <x v="3"/>
    <n v="2700.7200000000003"/>
    <x v="1"/>
  </r>
  <r>
    <s v="I123918"/>
    <s v="C336809"/>
    <x v="1"/>
    <n v="61"/>
    <x v="2"/>
    <n v="1"/>
    <n v="300.08"/>
    <x v="1"/>
    <x v="37"/>
    <x v="0"/>
    <n v="300.08"/>
    <x v="1"/>
  </r>
  <r>
    <s v="I572573"/>
    <s v="C205210"/>
    <x v="1"/>
    <n v="60"/>
    <x v="5"/>
    <n v="3"/>
    <n v="1800.51"/>
    <x v="2"/>
    <x v="38"/>
    <x v="1"/>
    <n v="5401.53"/>
    <x v="1"/>
  </r>
  <r>
    <s v="I153262"/>
    <s v="C151884"/>
    <x v="1"/>
    <n v="56"/>
    <x v="2"/>
    <n v="2"/>
    <n v="600.16"/>
    <x v="0"/>
    <x v="30"/>
    <x v="2"/>
    <n v="1200.32"/>
    <x v="1"/>
  </r>
  <r>
    <s v="I916921"/>
    <s v="C876606"/>
    <x v="1"/>
    <n v="59"/>
    <x v="2"/>
    <n v="2"/>
    <n v="600.16"/>
    <x v="1"/>
    <x v="25"/>
    <x v="9"/>
    <n v="1200.32"/>
    <x v="1"/>
  </r>
  <r>
    <s v="I194729"/>
    <s v="C561708"/>
    <x v="0"/>
    <n v="55"/>
    <x v="5"/>
    <n v="4"/>
    <n v="2400.6799999999998"/>
    <x v="2"/>
    <x v="16"/>
    <x v="5"/>
    <n v="9602.7199999999993"/>
    <x v="1"/>
  </r>
  <r>
    <s v="I136074"/>
    <s v="C173996"/>
    <x v="1"/>
    <n v="59"/>
    <x v="6"/>
    <n v="1"/>
    <n v="40.659999999999997"/>
    <x v="1"/>
    <x v="9"/>
    <x v="5"/>
    <n v="40.659999999999997"/>
    <x v="1"/>
  </r>
  <r>
    <s v="I324135"/>
    <s v="C295545"/>
    <x v="1"/>
    <n v="64"/>
    <x v="2"/>
    <n v="3"/>
    <n v="900.24"/>
    <x v="0"/>
    <x v="39"/>
    <x v="5"/>
    <n v="2700.7200000000003"/>
    <x v="1"/>
  </r>
  <r>
    <s v="I202056"/>
    <s v="C958378"/>
    <x v="1"/>
    <n v="55"/>
    <x v="3"/>
    <n v="4"/>
    <n v="60.6"/>
    <x v="2"/>
    <x v="37"/>
    <x v="2"/>
    <n v="242.4"/>
    <x v="1"/>
  </r>
  <r>
    <s v="I294064"/>
    <s v="C157231"/>
    <x v="1"/>
    <n v="64"/>
    <x v="6"/>
    <n v="4"/>
    <n v="162.63999999999999"/>
    <x v="0"/>
    <x v="33"/>
    <x v="5"/>
    <n v="650.55999999999995"/>
    <x v="1"/>
  </r>
  <r>
    <s v="I104160"/>
    <s v="C120670"/>
    <x v="1"/>
    <n v="58"/>
    <x v="2"/>
    <n v="3"/>
    <n v="900.24"/>
    <x v="1"/>
    <x v="40"/>
    <x v="5"/>
    <n v="2700.7200000000003"/>
    <x v="1"/>
  </r>
  <r>
    <s v="I300117"/>
    <s v="C968038"/>
    <x v="1"/>
    <n v="60"/>
    <x v="2"/>
    <n v="3"/>
    <n v="900.24"/>
    <x v="2"/>
    <x v="39"/>
    <x v="2"/>
    <n v="2700.7200000000003"/>
    <x v="1"/>
  </r>
  <r>
    <s v="I725048"/>
    <s v="C934207"/>
    <x v="1"/>
    <n v="58"/>
    <x v="0"/>
    <n v="4"/>
    <n v="20.92"/>
    <x v="1"/>
    <x v="6"/>
    <x v="4"/>
    <n v="83.68"/>
    <x v="1"/>
  </r>
  <r>
    <s v="I147310"/>
    <s v="C202302"/>
    <x v="0"/>
    <n v="55"/>
    <x v="2"/>
    <n v="2"/>
    <n v="600.16"/>
    <x v="0"/>
    <x v="21"/>
    <x v="1"/>
    <n v="1200.32"/>
    <x v="1"/>
  </r>
  <r>
    <s v="I664787"/>
    <s v="C237330"/>
    <x v="1"/>
    <n v="53"/>
    <x v="6"/>
    <n v="2"/>
    <n v="81.319999999999993"/>
    <x v="0"/>
    <x v="4"/>
    <x v="3"/>
    <n v="162.63999999999999"/>
    <x v="2"/>
  </r>
  <r>
    <s v="I278401"/>
    <s v="C162371"/>
    <x v="1"/>
    <n v="53"/>
    <x v="1"/>
    <n v="1"/>
    <n v="35.840000000000003"/>
    <x v="2"/>
    <x v="19"/>
    <x v="5"/>
    <n v="35.840000000000003"/>
    <x v="2"/>
  </r>
  <r>
    <s v="I525798"/>
    <s v="C581947"/>
    <x v="0"/>
    <n v="46"/>
    <x v="6"/>
    <n v="4"/>
    <n v="162.63999999999999"/>
    <x v="1"/>
    <x v="41"/>
    <x v="5"/>
    <n v="650.55999999999995"/>
    <x v="2"/>
  </r>
  <r>
    <s v="I216982"/>
    <s v="C269751"/>
    <x v="1"/>
    <n v="48"/>
    <x v="7"/>
    <n v="4"/>
    <n v="46.92"/>
    <x v="1"/>
    <x v="25"/>
    <x v="2"/>
    <n v="187.68"/>
    <x v="2"/>
  </r>
  <r>
    <s v="I940840"/>
    <s v="C267961"/>
    <x v="1"/>
    <n v="53"/>
    <x v="6"/>
    <n v="2"/>
    <n v="81.319999999999993"/>
    <x v="1"/>
    <x v="42"/>
    <x v="3"/>
    <n v="162.63999999999999"/>
    <x v="2"/>
  </r>
  <r>
    <s v="I908600"/>
    <s v="C259539"/>
    <x v="1"/>
    <n v="54"/>
    <x v="6"/>
    <n v="4"/>
    <n v="162.63999999999999"/>
    <x v="0"/>
    <x v="21"/>
    <x v="7"/>
    <n v="650.55999999999995"/>
    <x v="2"/>
  </r>
  <r>
    <s v="I337094"/>
    <s v="C567509"/>
    <x v="1"/>
    <n v="50"/>
    <x v="4"/>
    <n v="1"/>
    <n v="1050"/>
    <x v="1"/>
    <x v="43"/>
    <x v="8"/>
    <n v="1050"/>
    <x v="2"/>
  </r>
  <r>
    <s v="I289611"/>
    <s v="C222906"/>
    <x v="1"/>
    <n v="45"/>
    <x v="2"/>
    <n v="3"/>
    <n v="900.24"/>
    <x v="2"/>
    <x v="44"/>
    <x v="6"/>
    <n v="2700.7200000000003"/>
    <x v="2"/>
  </r>
  <r>
    <s v="I258204"/>
    <s v="C167183"/>
    <x v="1"/>
    <n v="54"/>
    <x v="2"/>
    <n v="1"/>
    <n v="300.08"/>
    <x v="0"/>
    <x v="41"/>
    <x v="0"/>
    <n v="300.08"/>
    <x v="2"/>
  </r>
  <r>
    <s v="I941223"/>
    <s v="C291911"/>
    <x v="1"/>
    <n v="53"/>
    <x v="2"/>
    <n v="5"/>
    <n v="1500.4"/>
    <x v="0"/>
    <x v="41"/>
    <x v="0"/>
    <n v="7502"/>
    <x v="2"/>
  </r>
  <r>
    <s v="I846943"/>
    <s v="C134691"/>
    <x v="1"/>
    <n v="50"/>
    <x v="6"/>
    <n v="4"/>
    <n v="162.63999999999999"/>
    <x v="1"/>
    <x v="5"/>
    <x v="5"/>
    <n v="650.55999999999995"/>
    <x v="2"/>
  </r>
  <r>
    <s v="I873382"/>
    <s v="C289802"/>
    <x v="1"/>
    <n v="54"/>
    <x v="5"/>
    <n v="4"/>
    <n v="2400.6799999999998"/>
    <x v="0"/>
    <x v="1"/>
    <x v="2"/>
    <n v="9602.7199999999993"/>
    <x v="2"/>
  </r>
  <r>
    <s v="I230983"/>
    <s v="C321993"/>
    <x v="1"/>
    <n v="49"/>
    <x v="2"/>
    <n v="1"/>
    <n v="300.08"/>
    <x v="0"/>
    <x v="10"/>
    <x v="4"/>
    <n v="300.08"/>
    <x v="2"/>
  </r>
  <r>
    <s v="I117277"/>
    <s v="C292758"/>
    <x v="0"/>
    <n v="47"/>
    <x v="2"/>
    <n v="1"/>
    <n v="300.08"/>
    <x v="0"/>
    <x v="45"/>
    <x v="3"/>
    <n v="300.08"/>
    <x v="2"/>
  </r>
  <r>
    <s v="I318625"/>
    <s v="C319935"/>
    <x v="0"/>
    <n v="48"/>
    <x v="4"/>
    <n v="5"/>
    <n v="5250"/>
    <x v="1"/>
    <x v="46"/>
    <x v="8"/>
    <n v="26250"/>
    <x v="2"/>
  </r>
  <r>
    <s v="I173288"/>
    <s v="C264687"/>
    <x v="1"/>
    <n v="52"/>
    <x v="0"/>
    <n v="5"/>
    <n v="26.15"/>
    <x v="0"/>
    <x v="47"/>
    <x v="2"/>
    <n v="130.75"/>
    <x v="2"/>
  </r>
  <r>
    <s v="I466698"/>
    <s v="C303444"/>
    <x v="1"/>
    <n v="51"/>
    <x v="5"/>
    <n v="3"/>
    <n v="1800.51"/>
    <x v="2"/>
    <x v="16"/>
    <x v="4"/>
    <n v="5401.53"/>
    <x v="2"/>
  </r>
  <r>
    <s v="I165583"/>
    <s v="C235482"/>
    <x v="1"/>
    <n v="54"/>
    <x v="2"/>
    <n v="1"/>
    <n v="300.08"/>
    <x v="0"/>
    <x v="48"/>
    <x v="2"/>
    <n v="300.08"/>
    <x v="2"/>
  </r>
  <r>
    <s v="I218234"/>
    <s v="C136585"/>
    <x v="1"/>
    <n v="52"/>
    <x v="1"/>
    <n v="3"/>
    <n v="107.52"/>
    <x v="1"/>
    <x v="49"/>
    <x v="7"/>
    <n v="322.56"/>
    <x v="2"/>
  </r>
  <r>
    <s v="I256639"/>
    <s v="C158968"/>
    <x v="1"/>
    <n v="47"/>
    <x v="6"/>
    <n v="4"/>
    <n v="162.63999999999999"/>
    <x v="0"/>
    <x v="24"/>
    <x v="4"/>
    <n v="650.55999999999995"/>
    <x v="2"/>
  </r>
  <r>
    <s v="I198156"/>
    <s v="C149637"/>
    <x v="1"/>
    <n v="52"/>
    <x v="0"/>
    <n v="4"/>
    <n v="20.92"/>
    <x v="1"/>
    <x v="46"/>
    <x v="1"/>
    <n v="83.68"/>
    <x v="2"/>
  </r>
  <r>
    <s v="I307337"/>
    <s v="C322195"/>
    <x v="0"/>
    <n v="54"/>
    <x v="5"/>
    <n v="3"/>
    <n v="1800.51"/>
    <x v="2"/>
    <x v="50"/>
    <x v="1"/>
    <n v="5401.53"/>
    <x v="2"/>
  </r>
  <r>
    <s v="I240283"/>
    <s v="C812425"/>
    <x v="1"/>
    <n v="53"/>
    <x v="5"/>
    <n v="4"/>
    <n v="2400.6799999999998"/>
    <x v="1"/>
    <x v="51"/>
    <x v="1"/>
    <n v="9602.7199999999993"/>
    <x v="2"/>
  </r>
  <r>
    <s v="I334498"/>
    <s v="C108756"/>
    <x v="1"/>
    <n v="45"/>
    <x v="6"/>
    <n v="3"/>
    <n v="121.98"/>
    <x v="0"/>
    <x v="52"/>
    <x v="3"/>
    <n v="365.94"/>
    <x v="2"/>
  </r>
  <r>
    <s v="I255430"/>
    <s v="C981925"/>
    <x v="0"/>
    <n v="51"/>
    <x v="6"/>
    <n v="3"/>
    <n v="121.98"/>
    <x v="2"/>
    <x v="22"/>
    <x v="5"/>
    <n v="365.94"/>
    <x v="2"/>
  </r>
  <r>
    <s v="I306370"/>
    <s v="C158827"/>
    <x v="1"/>
    <n v="50"/>
    <x v="5"/>
    <n v="4"/>
    <n v="2400.6799999999998"/>
    <x v="0"/>
    <x v="8"/>
    <x v="2"/>
    <n v="9602.7199999999993"/>
    <x v="2"/>
  </r>
  <r>
    <s v="I317840"/>
    <s v="C296318"/>
    <x v="0"/>
    <n v="49"/>
    <x v="2"/>
    <n v="2"/>
    <n v="600.16"/>
    <x v="1"/>
    <x v="3"/>
    <x v="4"/>
    <n v="1200.32"/>
    <x v="2"/>
  </r>
  <r>
    <s v="I637087"/>
    <s v="C295880"/>
    <x v="1"/>
    <n v="50"/>
    <x v="2"/>
    <n v="5"/>
    <n v="1500.4"/>
    <x v="1"/>
    <x v="53"/>
    <x v="4"/>
    <n v="7502"/>
    <x v="2"/>
  </r>
  <r>
    <s v="I228840"/>
    <s v="C128660"/>
    <x v="1"/>
    <n v="45"/>
    <x v="2"/>
    <n v="2"/>
    <n v="600.16"/>
    <x v="0"/>
    <x v="24"/>
    <x v="4"/>
    <n v="1200.32"/>
    <x v="2"/>
  </r>
  <r>
    <s v="I280717"/>
    <s v="C136014"/>
    <x v="0"/>
    <n v="49"/>
    <x v="6"/>
    <n v="1"/>
    <n v="40.659999999999997"/>
    <x v="1"/>
    <x v="23"/>
    <x v="1"/>
    <n v="40.659999999999997"/>
    <x v="2"/>
  </r>
  <r>
    <s v="I134446"/>
    <s v="C661696"/>
    <x v="1"/>
    <n v="53"/>
    <x v="4"/>
    <n v="5"/>
    <n v="5250"/>
    <x v="1"/>
    <x v="20"/>
    <x v="5"/>
    <n v="26250"/>
    <x v="2"/>
  </r>
  <r>
    <s v="I133952"/>
    <s v="C233646"/>
    <x v="1"/>
    <n v="50"/>
    <x v="3"/>
    <n v="5"/>
    <n v="75.75"/>
    <x v="1"/>
    <x v="36"/>
    <x v="5"/>
    <n v="378.75"/>
    <x v="2"/>
  </r>
  <r>
    <s v="I229390"/>
    <s v="C246959"/>
    <x v="1"/>
    <n v="54"/>
    <x v="7"/>
    <n v="3"/>
    <n v="35.19"/>
    <x v="1"/>
    <x v="54"/>
    <x v="4"/>
    <n v="105.57"/>
    <x v="2"/>
  </r>
  <r>
    <s v="I126694"/>
    <s v="C311661"/>
    <x v="1"/>
    <n v="54"/>
    <x v="1"/>
    <n v="4"/>
    <n v="143.36000000000001"/>
    <x v="1"/>
    <x v="55"/>
    <x v="3"/>
    <n v="573.44000000000005"/>
    <x v="2"/>
  </r>
  <r>
    <s v="I212437"/>
    <s v="C241260"/>
    <x v="1"/>
    <n v="49"/>
    <x v="1"/>
    <n v="2"/>
    <n v="71.680000000000007"/>
    <x v="2"/>
    <x v="35"/>
    <x v="1"/>
    <n v="143.36000000000001"/>
    <x v="2"/>
  </r>
  <r>
    <s v="I168776"/>
    <s v="C231125"/>
    <x v="1"/>
    <n v="51"/>
    <x v="2"/>
    <n v="1"/>
    <n v="300.08"/>
    <x v="0"/>
    <x v="43"/>
    <x v="3"/>
    <n v="300.08"/>
    <x v="2"/>
  </r>
  <r>
    <s v="I599893"/>
    <s v="C496957"/>
    <x v="0"/>
    <n v="48"/>
    <x v="5"/>
    <n v="1"/>
    <n v="600.16999999999996"/>
    <x v="0"/>
    <x v="38"/>
    <x v="9"/>
    <n v="600.16999999999996"/>
    <x v="2"/>
  </r>
  <r>
    <s v="I266781"/>
    <s v="C226901"/>
    <x v="0"/>
    <n v="52"/>
    <x v="1"/>
    <n v="3"/>
    <n v="107.52"/>
    <x v="1"/>
    <x v="47"/>
    <x v="3"/>
    <n v="322.56"/>
    <x v="2"/>
  </r>
  <r>
    <s v="I260295"/>
    <s v="C323715"/>
    <x v="0"/>
    <n v="53"/>
    <x v="0"/>
    <n v="5"/>
    <n v="26.15"/>
    <x v="0"/>
    <x v="27"/>
    <x v="3"/>
    <n v="130.75"/>
    <x v="2"/>
  </r>
  <r>
    <s v="I158989"/>
    <s v="C644501"/>
    <x v="1"/>
    <n v="45"/>
    <x v="6"/>
    <n v="3"/>
    <n v="121.98"/>
    <x v="1"/>
    <x v="2"/>
    <x v="5"/>
    <n v="365.94"/>
    <x v="2"/>
  </r>
  <r>
    <s v="I323948"/>
    <s v="C137694"/>
    <x v="0"/>
    <n v="53"/>
    <x v="0"/>
    <n v="3"/>
    <n v="15.69"/>
    <x v="1"/>
    <x v="11"/>
    <x v="4"/>
    <n v="47.07"/>
    <x v="2"/>
  </r>
  <r>
    <s v="I241813"/>
    <s v="C259650"/>
    <x v="0"/>
    <n v="54"/>
    <x v="2"/>
    <n v="5"/>
    <n v="1500.4"/>
    <x v="1"/>
    <x v="29"/>
    <x v="3"/>
    <n v="7502"/>
    <x v="2"/>
  </r>
  <r>
    <s v="I317873"/>
    <s v="C535096"/>
    <x v="1"/>
    <n v="49"/>
    <x v="2"/>
    <n v="1"/>
    <n v="300.08"/>
    <x v="0"/>
    <x v="52"/>
    <x v="8"/>
    <n v="300.08"/>
    <x v="2"/>
  </r>
  <r>
    <s v="I202792"/>
    <s v="C963729"/>
    <x v="1"/>
    <n v="48"/>
    <x v="2"/>
    <n v="5"/>
    <n v="1500.4"/>
    <x v="2"/>
    <x v="56"/>
    <x v="4"/>
    <n v="7502"/>
    <x v="2"/>
  </r>
  <r>
    <s v="I287301"/>
    <s v="C202744"/>
    <x v="1"/>
    <n v="51"/>
    <x v="0"/>
    <n v="1"/>
    <n v="5.23"/>
    <x v="1"/>
    <x v="12"/>
    <x v="4"/>
    <n v="5.23"/>
    <x v="2"/>
  </r>
  <r>
    <s v="I177135"/>
    <s v="C654762"/>
    <x v="1"/>
    <n v="54"/>
    <x v="2"/>
    <n v="5"/>
    <n v="1500.4"/>
    <x v="2"/>
    <x v="38"/>
    <x v="4"/>
    <n v="7502"/>
    <x v="2"/>
  </r>
  <r>
    <s v="I446775"/>
    <s v="C135162"/>
    <x v="1"/>
    <n v="49"/>
    <x v="2"/>
    <n v="4"/>
    <n v="1200.32"/>
    <x v="2"/>
    <x v="57"/>
    <x v="5"/>
    <n v="4801.28"/>
    <x v="2"/>
  </r>
  <r>
    <s v="I162230"/>
    <s v="C599749"/>
    <x v="1"/>
    <n v="49"/>
    <x v="6"/>
    <n v="1"/>
    <n v="40.659999999999997"/>
    <x v="1"/>
    <x v="20"/>
    <x v="5"/>
    <n v="40.659999999999997"/>
    <x v="2"/>
  </r>
  <r>
    <s v="I223993"/>
    <s v="C318751"/>
    <x v="0"/>
    <n v="47"/>
    <x v="6"/>
    <n v="4"/>
    <n v="162.63999999999999"/>
    <x v="0"/>
    <x v="29"/>
    <x v="3"/>
    <n v="650.55999999999995"/>
    <x v="2"/>
  </r>
  <r>
    <s v="I154426"/>
    <s v="C208165"/>
    <x v="0"/>
    <n v="48"/>
    <x v="2"/>
    <n v="5"/>
    <n v="1500.4"/>
    <x v="0"/>
    <x v="58"/>
    <x v="1"/>
    <n v="7502"/>
    <x v="2"/>
  </r>
  <r>
    <s v="I167926"/>
    <s v="C228581"/>
    <x v="0"/>
    <n v="54"/>
    <x v="2"/>
    <n v="2"/>
    <n v="600.16"/>
    <x v="1"/>
    <x v="25"/>
    <x v="5"/>
    <n v="1200.32"/>
    <x v="2"/>
  </r>
  <r>
    <s v="I202367"/>
    <s v="C317478"/>
    <x v="1"/>
    <n v="41"/>
    <x v="3"/>
    <n v="3"/>
    <n v="45.45"/>
    <x v="1"/>
    <x v="16"/>
    <x v="3"/>
    <n v="136.35000000000002"/>
    <x v="3"/>
  </r>
  <r>
    <s v="I222086"/>
    <s v="C978718"/>
    <x v="0"/>
    <n v="37"/>
    <x v="2"/>
    <n v="5"/>
    <n v="1500.4"/>
    <x v="1"/>
    <x v="43"/>
    <x v="0"/>
    <n v="7502"/>
    <x v="3"/>
  </r>
  <r>
    <s v="I428118"/>
    <s v="C826744"/>
    <x v="1"/>
    <n v="44"/>
    <x v="5"/>
    <n v="2"/>
    <n v="1200.3399999999999"/>
    <x v="0"/>
    <x v="4"/>
    <x v="4"/>
    <n v="2400.6799999999998"/>
    <x v="3"/>
  </r>
  <r>
    <s v="I305432"/>
    <s v="C986860"/>
    <x v="0"/>
    <n v="39"/>
    <x v="1"/>
    <n v="3"/>
    <n v="107.52"/>
    <x v="0"/>
    <x v="59"/>
    <x v="5"/>
    <n v="322.56"/>
    <x v="3"/>
  </r>
  <r>
    <s v="I119142"/>
    <s v="C278588"/>
    <x v="1"/>
    <n v="35"/>
    <x v="6"/>
    <n v="5"/>
    <n v="203.3"/>
    <x v="2"/>
    <x v="47"/>
    <x v="6"/>
    <n v="1016.5"/>
    <x v="3"/>
  </r>
  <r>
    <s v="I283774"/>
    <s v="C210614"/>
    <x v="1"/>
    <n v="42"/>
    <x v="1"/>
    <n v="1"/>
    <n v="35.840000000000003"/>
    <x v="2"/>
    <x v="17"/>
    <x v="3"/>
    <n v="35.840000000000003"/>
    <x v="3"/>
  </r>
  <r>
    <s v="I254341"/>
    <s v="C703073"/>
    <x v="1"/>
    <n v="43"/>
    <x v="0"/>
    <n v="2"/>
    <n v="10.46"/>
    <x v="0"/>
    <x v="60"/>
    <x v="1"/>
    <n v="20.92"/>
    <x v="3"/>
  </r>
  <r>
    <s v="I300520"/>
    <s v="C282107"/>
    <x v="1"/>
    <n v="36"/>
    <x v="3"/>
    <n v="3"/>
    <n v="45.45"/>
    <x v="0"/>
    <x v="36"/>
    <x v="2"/>
    <n v="136.35000000000002"/>
    <x v="3"/>
  </r>
  <r>
    <s v="I194268"/>
    <s v="C128618"/>
    <x v="1"/>
    <n v="35"/>
    <x v="7"/>
    <n v="5"/>
    <n v="58.65"/>
    <x v="1"/>
    <x v="46"/>
    <x v="1"/>
    <n v="293.25"/>
    <x v="3"/>
  </r>
  <r>
    <s v="I231029"/>
    <s v="C113739"/>
    <x v="0"/>
    <n v="38"/>
    <x v="2"/>
    <n v="4"/>
    <n v="1200.32"/>
    <x v="1"/>
    <x v="23"/>
    <x v="3"/>
    <n v="4801.28"/>
    <x v="3"/>
  </r>
  <r>
    <s v="I187453"/>
    <s v="C690345"/>
    <x v="1"/>
    <n v="42"/>
    <x v="5"/>
    <n v="3"/>
    <n v="1800.51"/>
    <x v="1"/>
    <x v="13"/>
    <x v="2"/>
    <n v="5401.53"/>
    <x v="3"/>
  </r>
  <r>
    <s v="I910927"/>
    <s v="C300832"/>
    <x v="0"/>
    <n v="37"/>
    <x v="2"/>
    <n v="3"/>
    <n v="900.24"/>
    <x v="0"/>
    <x v="40"/>
    <x v="4"/>
    <n v="2700.7200000000003"/>
    <x v="3"/>
  </r>
  <r>
    <s v="I165932"/>
    <s v="C237757"/>
    <x v="0"/>
    <n v="44"/>
    <x v="6"/>
    <n v="3"/>
    <n v="121.98"/>
    <x v="0"/>
    <x v="33"/>
    <x v="6"/>
    <n v="365.94"/>
    <x v="3"/>
  </r>
  <r>
    <s v="I177444"/>
    <s v="C179915"/>
    <x v="0"/>
    <n v="40"/>
    <x v="2"/>
    <n v="3"/>
    <n v="900.24"/>
    <x v="2"/>
    <x v="61"/>
    <x v="0"/>
    <n v="2700.7200000000003"/>
    <x v="3"/>
  </r>
  <r>
    <s v="I174237"/>
    <s v="C289650"/>
    <x v="1"/>
    <n v="36"/>
    <x v="6"/>
    <n v="1"/>
    <n v="40.659999999999997"/>
    <x v="2"/>
    <x v="53"/>
    <x v="0"/>
    <n v="40.659999999999997"/>
    <x v="3"/>
  </r>
  <r>
    <s v="I288734"/>
    <s v="C993876"/>
    <x v="1"/>
    <n v="38"/>
    <x v="2"/>
    <n v="4"/>
    <n v="1200.32"/>
    <x v="2"/>
    <x v="30"/>
    <x v="4"/>
    <n v="4801.28"/>
    <x v="3"/>
  </r>
  <r>
    <s v="I335650"/>
    <s v="C245681"/>
    <x v="1"/>
    <n v="42"/>
    <x v="2"/>
    <n v="5"/>
    <n v="1500.4"/>
    <x v="0"/>
    <x v="38"/>
    <x v="5"/>
    <n v="7502"/>
    <x v="3"/>
  </r>
  <r>
    <s v="I289344"/>
    <s v="C197522"/>
    <x v="0"/>
    <n v="39"/>
    <x v="6"/>
    <n v="4"/>
    <n v="162.63999999999999"/>
    <x v="0"/>
    <x v="15"/>
    <x v="0"/>
    <n v="650.55999999999995"/>
    <x v="3"/>
  </r>
  <r>
    <s v="I101731"/>
    <s v="C125296"/>
    <x v="1"/>
    <n v="41"/>
    <x v="3"/>
    <n v="3"/>
    <n v="45.45"/>
    <x v="1"/>
    <x v="58"/>
    <x v="5"/>
    <n v="136.35000000000002"/>
    <x v="3"/>
  </r>
  <r>
    <s v="I284344"/>
    <s v="C125800"/>
    <x v="1"/>
    <n v="41"/>
    <x v="0"/>
    <n v="5"/>
    <n v="26.15"/>
    <x v="2"/>
    <x v="62"/>
    <x v="5"/>
    <n v="130.75"/>
    <x v="3"/>
  </r>
  <r>
    <s v="I254673"/>
    <s v="C143430"/>
    <x v="1"/>
    <n v="42"/>
    <x v="6"/>
    <n v="2"/>
    <n v="81.319999999999993"/>
    <x v="2"/>
    <x v="34"/>
    <x v="4"/>
    <n v="162.63999999999999"/>
    <x v="3"/>
  </r>
  <r>
    <s v="I255301"/>
    <s v="C306089"/>
    <x v="1"/>
    <n v="43"/>
    <x v="2"/>
    <n v="5"/>
    <n v="1500.4"/>
    <x v="1"/>
    <x v="27"/>
    <x v="1"/>
    <n v="7502"/>
    <x v="3"/>
  </r>
  <r>
    <s v="I222463"/>
    <s v="C243451"/>
    <x v="1"/>
    <n v="36"/>
    <x v="2"/>
    <n v="1"/>
    <n v="300.08"/>
    <x v="1"/>
    <x v="13"/>
    <x v="9"/>
    <n v="300.08"/>
    <x v="3"/>
  </r>
  <r>
    <s v="I139530"/>
    <s v="C572091"/>
    <x v="1"/>
    <n v="38"/>
    <x v="0"/>
    <n v="2"/>
    <n v="10.46"/>
    <x v="1"/>
    <x v="19"/>
    <x v="4"/>
    <n v="20.92"/>
    <x v="3"/>
  </r>
  <r>
    <s v="I206642"/>
    <s v="C289260"/>
    <x v="1"/>
    <n v="36"/>
    <x v="6"/>
    <n v="3"/>
    <n v="121.98"/>
    <x v="2"/>
    <x v="4"/>
    <x v="8"/>
    <n v="365.94"/>
    <x v="3"/>
  </r>
  <r>
    <s v="I173444"/>
    <s v="C422499"/>
    <x v="0"/>
    <n v="39"/>
    <x v="3"/>
    <n v="2"/>
    <n v="30.3"/>
    <x v="1"/>
    <x v="24"/>
    <x v="2"/>
    <n v="60.6"/>
    <x v="3"/>
  </r>
  <r>
    <s v="I297633"/>
    <s v="C311887"/>
    <x v="1"/>
    <n v="35"/>
    <x v="2"/>
    <n v="1"/>
    <n v="300.08"/>
    <x v="1"/>
    <x v="48"/>
    <x v="9"/>
    <n v="300.08"/>
    <x v="3"/>
  </r>
  <r>
    <s v="I400888"/>
    <s v="C143471"/>
    <x v="0"/>
    <n v="39"/>
    <x v="6"/>
    <n v="5"/>
    <n v="203.3"/>
    <x v="2"/>
    <x v="37"/>
    <x v="8"/>
    <n v="1016.5"/>
    <x v="3"/>
  </r>
  <r>
    <s v="I978050"/>
    <s v="C176604"/>
    <x v="1"/>
    <n v="39"/>
    <x v="0"/>
    <n v="5"/>
    <n v="26.15"/>
    <x v="1"/>
    <x v="26"/>
    <x v="5"/>
    <n v="130.75"/>
    <x v="3"/>
  </r>
  <r>
    <s v="I983925"/>
    <s v="C198062"/>
    <x v="0"/>
    <n v="36"/>
    <x v="6"/>
    <n v="3"/>
    <n v="121.98"/>
    <x v="1"/>
    <x v="61"/>
    <x v="2"/>
    <n v="365.94"/>
    <x v="3"/>
  </r>
  <r>
    <s v="I148577"/>
    <s v="C952467"/>
    <x v="1"/>
    <n v="37"/>
    <x v="5"/>
    <n v="5"/>
    <n v="3000.85"/>
    <x v="1"/>
    <x v="62"/>
    <x v="2"/>
    <n v="15004.25"/>
    <x v="3"/>
  </r>
  <r>
    <s v="I105721"/>
    <s v="C318000"/>
    <x v="0"/>
    <n v="42"/>
    <x v="2"/>
    <n v="4"/>
    <n v="1200.32"/>
    <x v="0"/>
    <x v="9"/>
    <x v="4"/>
    <n v="4801.28"/>
    <x v="3"/>
  </r>
  <r>
    <s v="I119685"/>
    <s v="C211689"/>
    <x v="1"/>
    <n v="44"/>
    <x v="2"/>
    <n v="2"/>
    <n v="600.16"/>
    <x v="2"/>
    <x v="63"/>
    <x v="9"/>
    <n v="1200.32"/>
    <x v="3"/>
  </r>
  <r>
    <s v="I213763"/>
    <s v="C262982"/>
    <x v="1"/>
    <n v="37"/>
    <x v="2"/>
    <n v="4"/>
    <n v="1200.32"/>
    <x v="1"/>
    <x v="46"/>
    <x v="3"/>
    <n v="4801.28"/>
    <x v="3"/>
  </r>
  <r>
    <s v="I324526"/>
    <s v="C173979"/>
    <x v="0"/>
    <n v="39"/>
    <x v="4"/>
    <n v="4"/>
    <n v="4200"/>
    <x v="0"/>
    <x v="30"/>
    <x v="3"/>
    <n v="16800"/>
    <x v="3"/>
  </r>
  <r>
    <s v="I142757"/>
    <s v="C308224"/>
    <x v="1"/>
    <n v="36"/>
    <x v="1"/>
    <n v="3"/>
    <n v="107.52"/>
    <x v="1"/>
    <x v="21"/>
    <x v="2"/>
    <n v="322.56"/>
    <x v="3"/>
  </r>
  <r>
    <s v="I232062"/>
    <s v="C525444"/>
    <x v="1"/>
    <n v="36"/>
    <x v="2"/>
    <n v="5"/>
    <n v="1500.4"/>
    <x v="0"/>
    <x v="2"/>
    <x v="8"/>
    <n v="7502"/>
    <x v="3"/>
  </r>
  <r>
    <s v="I320496"/>
    <s v="C472457"/>
    <x v="0"/>
    <n v="39"/>
    <x v="2"/>
    <n v="4"/>
    <n v="1200.32"/>
    <x v="0"/>
    <x v="9"/>
    <x v="7"/>
    <n v="4801.28"/>
    <x v="3"/>
  </r>
  <r>
    <s v="I314442"/>
    <s v="C851697"/>
    <x v="1"/>
    <n v="39"/>
    <x v="3"/>
    <n v="5"/>
    <n v="75.75"/>
    <x v="0"/>
    <x v="0"/>
    <x v="1"/>
    <n v="378.75"/>
    <x v="3"/>
  </r>
  <r>
    <s v="I177200"/>
    <s v="C197871"/>
    <x v="1"/>
    <n v="42"/>
    <x v="0"/>
    <n v="1"/>
    <n v="5.23"/>
    <x v="2"/>
    <x v="64"/>
    <x v="9"/>
    <n v="5.23"/>
    <x v="3"/>
  </r>
  <r>
    <s v="I318281"/>
    <s v="C164736"/>
    <x v="1"/>
    <n v="41"/>
    <x v="7"/>
    <n v="2"/>
    <n v="23.46"/>
    <x v="1"/>
    <x v="48"/>
    <x v="6"/>
    <n v="46.92"/>
    <x v="3"/>
  </r>
  <r>
    <s v="I509314"/>
    <s v="C193427"/>
    <x v="1"/>
    <n v="39"/>
    <x v="2"/>
    <n v="1"/>
    <n v="300.08"/>
    <x v="0"/>
    <x v="41"/>
    <x v="4"/>
    <n v="300.08"/>
    <x v="3"/>
  </r>
  <r>
    <s v="I323407"/>
    <s v="C241345"/>
    <x v="1"/>
    <n v="40"/>
    <x v="1"/>
    <n v="4"/>
    <n v="143.36000000000001"/>
    <x v="0"/>
    <x v="47"/>
    <x v="5"/>
    <n v="573.44000000000005"/>
    <x v="3"/>
  </r>
  <r>
    <s v="I252715"/>
    <s v="C623628"/>
    <x v="1"/>
    <n v="35"/>
    <x v="2"/>
    <n v="3"/>
    <n v="900.24"/>
    <x v="1"/>
    <x v="25"/>
    <x v="5"/>
    <n v="2700.7200000000003"/>
    <x v="3"/>
  </r>
  <r>
    <s v="I315209"/>
    <s v="C330263"/>
    <x v="1"/>
    <n v="40"/>
    <x v="2"/>
    <n v="2"/>
    <n v="600.16"/>
    <x v="2"/>
    <x v="36"/>
    <x v="5"/>
    <n v="1200.32"/>
    <x v="3"/>
  </r>
  <r>
    <s v="I247839"/>
    <s v="C184299"/>
    <x v="1"/>
    <n v="41"/>
    <x v="2"/>
    <n v="1"/>
    <n v="300.08"/>
    <x v="0"/>
    <x v="28"/>
    <x v="4"/>
    <n v="300.08"/>
    <x v="3"/>
  </r>
  <r>
    <s v="I230347"/>
    <s v="C696396"/>
    <x v="1"/>
    <n v="42"/>
    <x v="7"/>
    <n v="1"/>
    <n v="11.73"/>
    <x v="2"/>
    <x v="52"/>
    <x v="4"/>
    <n v="11.73"/>
    <x v="3"/>
  </r>
  <r>
    <s v="I273212"/>
    <s v="C640694"/>
    <x v="1"/>
    <n v="42"/>
    <x v="3"/>
    <n v="4"/>
    <n v="60.6"/>
    <x v="0"/>
    <x v="53"/>
    <x v="1"/>
    <n v="242.4"/>
    <x v="3"/>
  </r>
  <r>
    <s v="I167565"/>
    <s v="C759854"/>
    <x v="1"/>
    <n v="38"/>
    <x v="6"/>
    <n v="1"/>
    <n v="40.659999999999997"/>
    <x v="1"/>
    <x v="44"/>
    <x v="8"/>
    <n v="40.659999999999997"/>
    <x v="3"/>
  </r>
  <r>
    <s v="I265048"/>
    <s v="C296532"/>
    <x v="0"/>
    <n v="37"/>
    <x v="0"/>
    <n v="5"/>
    <n v="26.15"/>
    <x v="0"/>
    <x v="11"/>
    <x v="2"/>
    <n v="130.75"/>
    <x v="3"/>
  </r>
  <r>
    <s v="I137646"/>
    <s v="C162352"/>
    <x v="1"/>
    <n v="43"/>
    <x v="2"/>
    <n v="2"/>
    <n v="600.16"/>
    <x v="1"/>
    <x v="49"/>
    <x v="4"/>
    <n v="1200.32"/>
    <x v="3"/>
  </r>
  <r>
    <s v="I603978"/>
    <s v="C225310"/>
    <x v="1"/>
    <n v="40"/>
    <x v="0"/>
    <n v="3"/>
    <n v="15.69"/>
    <x v="0"/>
    <x v="43"/>
    <x v="4"/>
    <n v="47.07"/>
    <x v="3"/>
  </r>
  <r>
    <s v="I134452"/>
    <s v="C112750"/>
    <x v="1"/>
    <n v="32"/>
    <x v="2"/>
    <n v="1"/>
    <n v="300.08"/>
    <x v="0"/>
    <x v="6"/>
    <x v="7"/>
    <n v="300.08"/>
    <x v="4"/>
  </r>
  <r>
    <s v="I215279"/>
    <s v="C223343"/>
    <x v="1"/>
    <n v="31"/>
    <x v="2"/>
    <n v="2"/>
    <n v="600.16"/>
    <x v="0"/>
    <x v="26"/>
    <x v="4"/>
    <n v="1200.32"/>
    <x v="4"/>
  </r>
  <r>
    <s v="I170160"/>
    <s v="C244213"/>
    <x v="0"/>
    <n v="34"/>
    <x v="1"/>
    <n v="2"/>
    <n v="71.680000000000007"/>
    <x v="2"/>
    <x v="46"/>
    <x v="2"/>
    <n v="143.36000000000001"/>
    <x v="4"/>
  </r>
  <r>
    <s v="I198233"/>
    <s v="C584141"/>
    <x v="1"/>
    <n v="31"/>
    <x v="6"/>
    <n v="4"/>
    <n v="162.63999999999999"/>
    <x v="1"/>
    <x v="22"/>
    <x v="1"/>
    <n v="650.55999999999995"/>
    <x v="4"/>
  </r>
  <r>
    <s v="I198698"/>
    <s v="C281268"/>
    <x v="1"/>
    <n v="29"/>
    <x v="2"/>
    <n v="1"/>
    <n v="300.08"/>
    <x v="2"/>
    <x v="6"/>
    <x v="1"/>
    <n v="300.08"/>
    <x v="4"/>
  </r>
  <r>
    <s v="I115679"/>
    <s v="C266462"/>
    <x v="0"/>
    <n v="27"/>
    <x v="2"/>
    <n v="1"/>
    <n v="300.08"/>
    <x v="1"/>
    <x v="51"/>
    <x v="4"/>
    <n v="300.08"/>
    <x v="4"/>
  </r>
  <r>
    <s v="I304567"/>
    <s v="C317897"/>
    <x v="0"/>
    <n v="30"/>
    <x v="7"/>
    <n v="2"/>
    <n v="23.46"/>
    <x v="0"/>
    <x v="44"/>
    <x v="7"/>
    <n v="46.92"/>
    <x v="4"/>
  </r>
  <r>
    <s v="I946433"/>
    <s v="C387164"/>
    <x v="1"/>
    <n v="29"/>
    <x v="4"/>
    <n v="4"/>
    <n v="4200"/>
    <x v="2"/>
    <x v="36"/>
    <x v="4"/>
    <n v="16800"/>
    <x v="4"/>
  </r>
  <r>
    <s v="I721903"/>
    <s v="C284031"/>
    <x v="0"/>
    <n v="29"/>
    <x v="0"/>
    <n v="2"/>
    <n v="10.46"/>
    <x v="1"/>
    <x v="61"/>
    <x v="5"/>
    <n v="20.92"/>
    <x v="4"/>
  </r>
  <r>
    <s v="I230701"/>
    <s v="C339339"/>
    <x v="0"/>
    <n v="34"/>
    <x v="2"/>
    <n v="2"/>
    <n v="600.16"/>
    <x v="0"/>
    <x v="42"/>
    <x v="0"/>
    <n v="1200.32"/>
    <x v="4"/>
  </r>
  <r>
    <s v="I205336"/>
    <s v="C331127"/>
    <x v="0"/>
    <n v="32"/>
    <x v="6"/>
    <n v="1"/>
    <n v="40.659999999999997"/>
    <x v="1"/>
    <x v="26"/>
    <x v="3"/>
    <n v="40.659999999999997"/>
    <x v="4"/>
  </r>
  <r>
    <s v="I193148"/>
    <s v="C297610"/>
    <x v="1"/>
    <n v="32"/>
    <x v="2"/>
    <n v="4"/>
    <n v="1200.32"/>
    <x v="1"/>
    <x v="65"/>
    <x v="6"/>
    <n v="4801.28"/>
    <x v="4"/>
  </r>
  <r>
    <s v="I610847"/>
    <s v="C322689"/>
    <x v="1"/>
    <n v="29"/>
    <x v="2"/>
    <n v="4"/>
    <n v="1200.32"/>
    <x v="1"/>
    <x v="31"/>
    <x v="2"/>
    <n v="4801.28"/>
    <x v="4"/>
  </r>
  <r>
    <s v="I929854"/>
    <s v="C114606"/>
    <x v="1"/>
    <n v="34"/>
    <x v="5"/>
    <n v="1"/>
    <n v="600.16999999999996"/>
    <x v="2"/>
    <x v="0"/>
    <x v="1"/>
    <n v="600.16999999999996"/>
    <x v="4"/>
  </r>
  <r>
    <s v="I268823"/>
    <s v="C230543"/>
    <x v="0"/>
    <n v="30"/>
    <x v="2"/>
    <n v="1"/>
    <n v="300.08"/>
    <x v="2"/>
    <x v="48"/>
    <x v="3"/>
    <n v="300.08"/>
    <x v="4"/>
  </r>
  <r>
    <s v="I701994"/>
    <s v="C289614"/>
    <x v="0"/>
    <n v="31"/>
    <x v="0"/>
    <n v="1"/>
    <n v="5.23"/>
    <x v="1"/>
    <x v="43"/>
    <x v="7"/>
    <n v="5.23"/>
    <x v="4"/>
  </r>
  <r>
    <s v="I144412"/>
    <s v="C261316"/>
    <x v="0"/>
    <n v="32"/>
    <x v="6"/>
    <n v="1"/>
    <n v="40.659999999999997"/>
    <x v="1"/>
    <x v="30"/>
    <x v="2"/>
    <n v="40.659999999999997"/>
    <x v="4"/>
  </r>
  <r>
    <s v="I317125"/>
    <s v="C845711"/>
    <x v="1"/>
    <n v="34"/>
    <x v="3"/>
    <n v="2"/>
    <n v="30.3"/>
    <x v="0"/>
    <x v="38"/>
    <x v="4"/>
    <n v="60.6"/>
    <x v="4"/>
  </r>
  <r>
    <s v="I364470"/>
    <s v="C162162"/>
    <x v="0"/>
    <n v="30"/>
    <x v="5"/>
    <n v="2"/>
    <n v="1200.3399999999999"/>
    <x v="1"/>
    <x v="20"/>
    <x v="3"/>
    <n v="2400.6799999999998"/>
    <x v="4"/>
  </r>
  <r>
    <s v="I296120"/>
    <s v="C750093"/>
    <x v="0"/>
    <n v="34"/>
    <x v="2"/>
    <n v="2"/>
    <n v="600.16"/>
    <x v="1"/>
    <x v="3"/>
    <x v="2"/>
    <n v="1200.32"/>
    <x v="4"/>
  </r>
  <r>
    <s v="I227528"/>
    <s v="C187110"/>
    <x v="1"/>
    <n v="27"/>
    <x v="2"/>
    <n v="4"/>
    <n v="1200.32"/>
    <x v="2"/>
    <x v="15"/>
    <x v="3"/>
    <n v="4801.28"/>
    <x v="4"/>
  </r>
  <r>
    <s v="I133290"/>
    <s v="C334601"/>
    <x v="1"/>
    <n v="26"/>
    <x v="2"/>
    <n v="5"/>
    <n v="1500.4"/>
    <x v="1"/>
    <x v="12"/>
    <x v="2"/>
    <n v="7502"/>
    <x v="4"/>
  </r>
  <r>
    <s v="I132312"/>
    <s v="C313275"/>
    <x v="1"/>
    <n v="34"/>
    <x v="7"/>
    <n v="5"/>
    <n v="58.65"/>
    <x v="1"/>
    <x v="57"/>
    <x v="4"/>
    <n v="293.25"/>
    <x v="4"/>
  </r>
  <r>
    <s v="I133527"/>
    <s v="C131842"/>
    <x v="1"/>
    <n v="31"/>
    <x v="0"/>
    <n v="1"/>
    <n v="5.23"/>
    <x v="2"/>
    <x v="4"/>
    <x v="5"/>
    <n v="5.23"/>
    <x v="4"/>
  </r>
  <r>
    <s v="I157192"/>
    <s v="C283350"/>
    <x v="1"/>
    <n v="29"/>
    <x v="6"/>
    <n v="5"/>
    <n v="203.3"/>
    <x v="0"/>
    <x v="20"/>
    <x v="5"/>
    <n v="1016.5"/>
    <x v="4"/>
  </r>
  <r>
    <s v="I857171"/>
    <s v="C115898"/>
    <x v="0"/>
    <n v="26"/>
    <x v="5"/>
    <n v="2"/>
    <n v="1200.3399999999999"/>
    <x v="1"/>
    <x v="53"/>
    <x v="0"/>
    <n v="2400.6799999999998"/>
    <x v="4"/>
  </r>
  <r>
    <s v="I844405"/>
    <s v="C886153"/>
    <x v="1"/>
    <n v="32"/>
    <x v="2"/>
    <n v="2"/>
    <n v="600.16"/>
    <x v="0"/>
    <x v="31"/>
    <x v="1"/>
    <n v="1200.32"/>
    <x v="4"/>
  </r>
  <r>
    <s v="I304830"/>
    <s v="C240135"/>
    <x v="1"/>
    <n v="34"/>
    <x v="2"/>
    <n v="1"/>
    <n v="300.08"/>
    <x v="1"/>
    <x v="44"/>
    <x v="4"/>
    <n v="300.08"/>
    <x v="4"/>
  </r>
  <r>
    <s v="I797149"/>
    <s v="C225949"/>
    <x v="1"/>
    <n v="28"/>
    <x v="1"/>
    <n v="5"/>
    <n v="179.2"/>
    <x v="1"/>
    <x v="63"/>
    <x v="2"/>
    <n v="896"/>
    <x v="4"/>
  </r>
  <r>
    <s v="I184859"/>
    <s v="C272792"/>
    <x v="1"/>
    <n v="29"/>
    <x v="2"/>
    <n v="4"/>
    <n v="1200.32"/>
    <x v="1"/>
    <x v="15"/>
    <x v="5"/>
    <n v="4801.28"/>
    <x v="4"/>
  </r>
  <r>
    <s v="I237866"/>
    <s v="C297260"/>
    <x v="0"/>
    <n v="31"/>
    <x v="5"/>
    <n v="5"/>
    <n v="3000.85"/>
    <x v="0"/>
    <x v="9"/>
    <x v="1"/>
    <n v="15004.25"/>
    <x v="4"/>
  </r>
  <r>
    <s v="I188063"/>
    <s v="C632239"/>
    <x v="1"/>
    <n v="27"/>
    <x v="2"/>
    <n v="2"/>
    <n v="600.16"/>
    <x v="1"/>
    <x v="18"/>
    <x v="5"/>
    <n v="1200.32"/>
    <x v="4"/>
  </r>
  <r>
    <s v="I187255"/>
    <s v="C113670"/>
    <x v="0"/>
    <n v="28"/>
    <x v="2"/>
    <n v="4"/>
    <n v="1200.32"/>
    <x v="2"/>
    <x v="63"/>
    <x v="5"/>
    <n v="4801.28"/>
    <x v="4"/>
  </r>
  <r>
    <s v="I737951"/>
    <s v="C143091"/>
    <x v="0"/>
    <n v="29"/>
    <x v="3"/>
    <n v="1"/>
    <n v="15.15"/>
    <x v="1"/>
    <x v="21"/>
    <x v="9"/>
    <n v="15.15"/>
    <x v="4"/>
  </r>
  <r>
    <s v="I147428"/>
    <s v="C192403"/>
    <x v="1"/>
    <n v="29"/>
    <x v="0"/>
    <n v="3"/>
    <n v="15.69"/>
    <x v="0"/>
    <x v="37"/>
    <x v="7"/>
    <n v="47.07"/>
    <x v="4"/>
  </r>
  <r>
    <s v="I250095"/>
    <s v="C140031"/>
    <x v="0"/>
    <n v="32"/>
    <x v="2"/>
    <n v="2"/>
    <n v="600.16"/>
    <x v="1"/>
    <x v="29"/>
    <x v="2"/>
    <n v="1200.32"/>
    <x v="4"/>
  </r>
  <r>
    <s v="I429412"/>
    <s v="C184011"/>
    <x v="0"/>
    <n v="26"/>
    <x v="1"/>
    <n v="1"/>
    <n v="35.840000000000003"/>
    <x v="0"/>
    <x v="41"/>
    <x v="9"/>
    <n v="35.840000000000003"/>
    <x v="4"/>
  </r>
  <r>
    <s v="I274795"/>
    <s v="C314543"/>
    <x v="0"/>
    <n v="29"/>
    <x v="5"/>
    <n v="2"/>
    <n v="1200.3399999999999"/>
    <x v="0"/>
    <x v="44"/>
    <x v="1"/>
    <n v="2400.6799999999998"/>
    <x v="4"/>
  </r>
  <r>
    <s v="I478239"/>
    <s v="C216402"/>
    <x v="1"/>
    <n v="28"/>
    <x v="1"/>
    <n v="3"/>
    <n v="107.52"/>
    <x v="2"/>
    <x v="21"/>
    <x v="0"/>
    <n v="322.56"/>
    <x v="4"/>
  </r>
  <r>
    <s v="I206495"/>
    <s v="C309927"/>
    <x v="0"/>
    <n v="30"/>
    <x v="5"/>
    <n v="1"/>
    <n v="600.16999999999996"/>
    <x v="0"/>
    <x v="4"/>
    <x v="4"/>
    <n v="600.16999999999996"/>
    <x v="4"/>
  </r>
  <r>
    <s v="I265794"/>
    <s v="C261459"/>
    <x v="0"/>
    <n v="33"/>
    <x v="2"/>
    <n v="3"/>
    <n v="900.24"/>
    <x v="2"/>
    <x v="66"/>
    <x v="5"/>
    <n v="2700.7200000000003"/>
    <x v="4"/>
  </r>
  <r>
    <s v="I150400"/>
    <s v="C219995"/>
    <x v="1"/>
    <n v="30"/>
    <x v="2"/>
    <n v="3"/>
    <n v="900.24"/>
    <x v="2"/>
    <x v="1"/>
    <x v="2"/>
    <n v="2700.7200000000003"/>
    <x v="4"/>
  </r>
  <r>
    <s v="I189261"/>
    <s v="C163301"/>
    <x v="0"/>
    <n v="29"/>
    <x v="6"/>
    <n v="5"/>
    <n v="203.3"/>
    <x v="0"/>
    <x v="64"/>
    <x v="3"/>
    <n v="1016.5"/>
    <x v="4"/>
  </r>
  <r>
    <s v="I187874"/>
    <s v="C194270"/>
    <x v="0"/>
    <n v="33"/>
    <x v="3"/>
    <n v="4"/>
    <n v="60.6"/>
    <x v="1"/>
    <x v="60"/>
    <x v="5"/>
    <n v="242.4"/>
    <x v="4"/>
  </r>
  <r>
    <s v="I653178"/>
    <s v="C176551"/>
    <x v="1"/>
    <n v="27"/>
    <x v="0"/>
    <n v="5"/>
    <n v="26.15"/>
    <x v="0"/>
    <x v="61"/>
    <x v="4"/>
    <n v="130.75"/>
    <x v="4"/>
  </r>
  <r>
    <s v="I177813"/>
    <s v="C247391"/>
    <x v="1"/>
    <n v="31"/>
    <x v="2"/>
    <n v="2"/>
    <n v="600.16"/>
    <x v="0"/>
    <x v="16"/>
    <x v="1"/>
    <n v="1200.32"/>
    <x v="4"/>
  </r>
  <r>
    <s v="I180472"/>
    <s v="C883222"/>
    <x v="1"/>
    <n v="30"/>
    <x v="7"/>
    <n v="4"/>
    <n v="46.92"/>
    <x v="0"/>
    <x v="33"/>
    <x v="4"/>
    <n v="187.68"/>
    <x v="4"/>
  </r>
  <r>
    <s v="I108615"/>
    <s v="C217169"/>
    <x v="1"/>
    <n v="33"/>
    <x v="2"/>
    <n v="5"/>
    <n v="1500.4"/>
    <x v="0"/>
    <x v="37"/>
    <x v="3"/>
    <n v="7502"/>
    <x v="4"/>
  </r>
  <r>
    <s v="I992454"/>
    <s v="C196845"/>
    <x v="0"/>
    <n v="24"/>
    <x v="1"/>
    <n v="4"/>
    <n v="143.36000000000001"/>
    <x v="1"/>
    <x v="30"/>
    <x v="6"/>
    <n v="573.44000000000005"/>
    <x v="5"/>
  </r>
  <r>
    <s v="I183746"/>
    <s v="C220180"/>
    <x v="0"/>
    <n v="23"/>
    <x v="2"/>
    <n v="1"/>
    <n v="300.08"/>
    <x v="0"/>
    <x v="54"/>
    <x v="0"/>
    <n v="300.08"/>
    <x v="5"/>
  </r>
  <r>
    <s v="I267193"/>
    <s v="C317818"/>
    <x v="1"/>
    <n v="19"/>
    <x v="6"/>
    <n v="3"/>
    <n v="121.98"/>
    <x v="0"/>
    <x v="4"/>
    <x v="5"/>
    <n v="365.94"/>
    <x v="5"/>
  </r>
  <r>
    <s v="I156233"/>
    <s v="C161285"/>
    <x v="1"/>
    <n v="20"/>
    <x v="2"/>
    <n v="1"/>
    <n v="300.08"/>
    <x v="0"/>
    <x v="45"/>
    <x v="5"/>
    <n v="300.08"/>
    <x v="5"/>
  </r>
  <r>
    <s v="I239703"/>
    <s v="C109489"/>
    <x v="0"/>
    <n v="23"/>
    <x v="0"/>
    <n v="3"/>
    <n v="15.69"/>
    <x v="0"/>
    <x v="15"/>
    <x v="4"/>
    <n v="47.07"/>
    <x v="5"/>
  </r>
  <r>
    <s v="I436935"/>
    <s v="C486241"/>
    <x v="1"/>
    <n v="21"/>
    <x v="6"/>
    <n v="4"/>
    <n v="162.63999999999999"/>
    <x v="1"/>
    <x v="46"/>
    <x v="3"/>
    <n v="650.55999999999995"/>
    <x v="5"/>
  </r>
  <r>
    <s v="I585560"/>
    <s v="C306892"/>
    <x v="0"/>
    <n v="21"/>
    <x v="5"/>
    <n v="2"/>
    <n v="1200.3399999999999"/>
    <x v="1"/>
    <x v="28"/>
    <x v="5"/>
    <n v="2400.6799999999998"/>
    <x v="5"/>
  </r>
  <r>
    <s v="I936118"/>
    <s v="C229670"/>
    <x v="0"/>
    <n v="22"/>
    <x v="0"/>
    <n v="3"/>
    <n v="15.69"/>
    <x v="1"/>
    <x v="42"/>
    <x v="3"/>
    <n v="47.07"/>
    <x v="5"/>
  </r>
  <r>
    <s v="I325555"/>
    <s v="C162986"/>
    <x v="0"/>
    <n v="21"/>
    <x v="4"/>
    <n v="4"/>
    <n v="4200"/>
    <x v="0"/>
    <x v="38"/>
    <x v="2"/>
    <n v="16800"/>
    <x v="5"/>
  </r>
  <r>
    <s v="I174942"/>
    <s v="C200317"/>
    <x v="1"/>
    <n v="19"/>
    <x v="2"/>
    <n v="3"/>
    <n v="900.24"/>
    <x v="0"/>
    <x v="58"/>
    <x v="4"/>
    <n v="2700.7200000000003"/>
    <x v="5"/>
  </r>
  <r>
    <s v="I140825"/>
    <s v="C144823"/>
    <x v="1"/>
    <n v="20"/>
    <x v="6"/>
    <n v="2"/>
    <n v="81.319999999999993"/>
    <x v="2"/>
    <x v="29"/>
    <x v="4"/>
    <n v="162.63999999999999"/>
    <x v="5"/>
  </r>
  <r>
    <s v="I846448"/>
    <s v="C870412"/>
    <x v="1"/>
    <n v="24"/>
    <x v="6"/>
    <n v="1"/>
    <n v="40.659999999999997"/>
    <x v="2"/>
    <x v="16"/>
    <x v="0"/>
    <n v="40.659999999999997"/>
    <x v="5"/>
  </r>
  <r>
    <s v="I421240"/>
    <s v="C382952"/>
    <x v="0"/>
    <n v="18"/>
    <x v="7"/>
    <n v="2"/>
    <n v="23.46"/>
    <x v="0"/>
    <x v="55"/>
    <x v="3"/>
    <n v="46.92"/>
    <x v="5"/>
  </r>
  <r>
    <s v="I392560"/>
    <s v="C892096"/>
    <x v="0"/>
    <n v="24"/>
    <x v="6"/>
    <n v="3"/>
    <n v="121.98"/>
    <x v="1"/>
    <x v="64"/>
    <x v="1"/>
    <n v="365.94"/>
    <x v="5"/>
  </r>
  <r>
    <s v="I135796"/>
    <s v="C170508"/>
    <x v="1"/>
    <n v="21"/>
    <x v="6"/>
    <n v="2"/>
    <n v="81.319999999999993"/>
    <x v="1"/>
    <x v="18"/>
    <x v="4"/>
    <n v="162.63999999999999"/>
    <x v="5"/>
  </r>
  <r>
    <s v="I240580"/>
    <s v="C625736"/>
    <x v="1"/>
    <n v="18"/>
    <x v="3"/>
    <n v="4"/>
    <n v="60.6"/>
    <x v="0"/>
    <x v="25"/>
    <x v="4"/>
    <n v="242.4"/>
    <x v="5"/>
  </r>
  <r>
    <s v="I875529"/>
    <s v="C353540"/>
    <x v="0"/>
    <n v="20"/>
    <x v="0"/>
    <n v="5"/>
    <n v="26.15"/>
    <x v="1"/>
    <x v="19"/>
    <x v="5"/>
    <n v="130.75"/>
    <x v="5"/>
  </r>
  <r>
    <s v="I272181"/>
    <s v="C279559"/>
    <x v="1"/>
    <n v="23"/>
    <x v="2"/>
    <n v="2"/>
    <n v="600.16"/>
    <x v="0"/>
    <x v="2"/>
    <x v="4"/>
    <n v="1200.32"/>
    <x v="5"/>
  </r>
  <r>
    <s v="I112064"/>
    <s v="C203624"/>
    <x v="0"/>
    <n v="24"/>
    <x v="0"/>
    <n v="1"/>
    <n v="5.23"/>
    <x v="1"/>
    <x v="20"/>
    <x v="4"/>
    <n v="5.23"/>
    <x v="5"/>
  </r>
  <r>
    <s v="I645871"/>
    <s v="C578468"/>
    <x v="1"/>
    <n v="22"/>
    <x v="6"/>
    <n v="4"/>
    <n v="162.63999999999999"/>
    <x v="1"/>
    <x v="36"/>
    <x v="8"/>
    <n v="650.55999999999995"/>
    <x v="5"/>
  </r>
  <r>
    <s v="I170200"/>
    <s v="C116013"/>
    <x v="1"/>
    <n v="22"/>
    <x v="2"/>
    <n v="3"/>
    <n v="900.24"/>
    <x v="1"/>
    <x v="48"/>
    <x v="5"/>
    <n v="2700.7200000000003"/>
    <x v="5"/>
  </r>
  <r>
    <s v="I130454"/>
    <s v="C155210"/>
    <x v="0"/>
    <n v="18"/>
    <x v="4"/>
    <n v="1"/>
    <n v="1050"/>
    <x v="1"/>
    <x v="61"/>
    <x v="1"/>
    <n v="1050"/>
    <x v="5"/>
  </r>
  <r>
    <s v="I228011"/>
    <s v="C248081"/>
    <x v="1"/>
    <n v="23"/>
    <x v="5"/>
    <n v="3"/>
    <n v="1800.51"/>
    <x v="0"/>
    <x v="22"/>
    <x v="5"/>
    <n v="5401.53"/>
    <x v="5"/>
  </r>
  <r>
    <s v="I557804"/>
    <s v="C208335"/>
    <x v="0"/>
    <n v="22"/>
    <x v="6"/>
    <n v="3"/>
    <n v="121.98"/>
    <x v="0"/>
    <x v="58"/>
    <x v="5"/>
    <n v="365.94"/>
    <x v="5"/>
  </r>
  <r>
    <s v="I280091"/>
    <s v="C277636"/>
    <x v="1"/>
    <n v="18"/>
    <x v="7"/>
    <n v="4"/>
    <n v="46.92"/>
    <x v="1"/>
    <x v="56"/>
    <x v="2"/>
    <n v="187.68"/>
    <x v="5"/>
  </r>
  <r>
    <s v="I106687"/>
    <s v="C335983"/>
    <x v="0"/>
    <n v="20"/>
    <x v="2"/>
    <n v="4"/>
    <n v="1200.32"/>
    <x v="1"/>
    <x v="62"/>
    <x v="2"/>
    <n v="4801.28"/>
    <x v="5"/>
  </r>
  <r>
    <s v="I786441"/>
    <s v="C151925"/>
    <x v="1"/>
    <n v="18"/>
    <x v="2"/>
    <n v="3"/>
    <n v="900.24"/>
    <x v="0"/>
    <x v="4"/>
    <x v="1"/>
    <n v="2700.7200000000003"/>
    <x v="5"/>
  </r>
  <r>
    <s v="I180909"/>
    <s v="C114698"/>
    <x v="1"/>
    <n v="24"/>
    <x v="5"/>
    <n v="4"/>
    <n v="2400.6799999999998"/>
    <x v="0"/>
    <x v="46"/>
    <x v="8"/>
    <n v="9602.7199999999993"/>
    <x v="5"/>
  </r>
  <r>
    <s v="I252712"/>
    <s v="C865866"/>
    <x v="0"/>
    <n v="18"/>
    <x v="2"/>
    <n v="2"/>
    <n v="600.16"/>
    <x v="1"/>
    <x v="49"/>
    <x v="4"/>
    <n v="1200.32"/>
    <x v="5"/>
  </r>
  <r>
    <s v="I260704"/>
    <s v="C110520"/>
    <x v="1"/>
    <n v="23"/>
    <x v="2"/>
    <n v="5"/>
    <n v="1500.4"/>
    <x v="0"/>
    <x v="10"/>
    <x v="2"/>
    <n v="7502"/>
    <x v="5"/>
  </r>
  <r>
    <s v="I190345"/>
    <s v="C137037"/>
    <x v="0"/>
    <n v="24"/>
    <x v="2"/>
    <n v="4"/>
    <n v="1200.32"/>
    <x v="1"/>
    <x v="34"/>
    <x v="1"/>
    <n v="4801.28"/>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J15" firstHeaderRow="1" firstDataRow="2" firstDataCol="1"/>
  <pivotFields count="14">
    <pivotField showAll="0"/>
    <pivotField showAll="0"/>
    <pivotField showAll="0"/>
    <pivotField numFmtId="164" showAll="0"/>
    <pivotField axis="axisCol" showAll="0">
      <items count="9">
        <item x="3"/>
        <item x="2"/>
        <item x="6"/>
        <item x="0"/>
        <item x="5"/>
        <item x="7"/>
        <item x="4"/>
        <item x="1"/>
        <item t="default"/>
      </items>
    </pivotField>
    <pivotField showAll="0"/>
    <pivotField numFmtId="44" showAll="0"/>
    <pivotField showAll="0"/>
    <pivotField numFmtId="14" showAll="0">
      <items count="68">
        <item x="17"/>
        <item x="25"/>
        <item x="39"/>
        <item x="0"/>
        <item x="62"/>
        <item x="5"/>
        <item x="1"/>
        <item x="12"/>
        <item x="61"/>
        <item x="51"/>
        <item x="45"/>
        <item x="4"/>
        <item x="9"/>
        <item x="57"/>
        <item x="6"/>
        <item x="40"/>
        <item x="15"/>
        <item x="23"/>
        <item x="8"/>
        <item x="32"/>
        <item x="60"/>
        <item x="2"/>
        <item x="58"/>
        <item x="20"/>
        <item x="47"/>
        <item x="59"/>
        <item x="52"/>
        <item x="55"/>
        <item x="13"/>
        <item x="38"/>
        <item x="19"/>
        <item x="26"/>
        <item x="36"/>
        <item x="41"/>
        <item x="29"/>
        <item x="63"/>
        <item x="31"/>
        <item x="37"/>
        <item x="48"/>
        <item x="43"/>
        <item x="3"/>
        <item x="65"/>
        <item x="53"/>
        <item x="22"/>
        <item x="66"/>
        <item x="54"/>
        <item x="11"/>
        <item x="28"/>
        <item x="34"/>
        <item x="42"/>
        <item x="7"/>
        <item x="27"/>
        <item x="64"/>
        <item x="21"/>
        <item x="16"/>
        <item x="50"/>
        <item x="46"/>
        <item x="14"/>
        <item x="49"/>
        <item x="56"/>
        <item x="10"/>
        <item x="18"/>
        <item x="33"/>
        <item x="24"/>
        <item x="35"/>
        <item x="30"/>
        <item x="44"/>
        <item t="default"/>
      </items>
    </pivotField>
    <pivotField axis="axisRow" showAll="0">
      <items count="11">
        <item x="6"/>
        <item x="0"/>
        <item x="7"/>
        <item x="3"/>
        <item x="4"/>
        <item x="5"/>
        <item x="2"/>
        <item x="1"/>
        <item x="9"/>
        <item x="8"/>
        <item t="default"/>
      </items>
    </pivotField>
    <pivotField dataField="1" numFmtId="44"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9"/>
  </rowFields>
  <rowItems count="11">
    <i>
      <x/>
    </i>
    <i>
      <x v="1"/>
    </i>
    <i>
      <x v="2"/>
    </i>
    <i>
      <x v="3"/>
    </i>
    <i>
      <x v="4"/>
    </i>
    <i>
      <x v="5"/>
    </i>
    <i>
      <x v="6"/>
    </i>
    <i>
      <x v="7"/>
    </i>
    <i>
      <x v="8"/>
    </i>
    <i>
      <x v="9"/>
    </i>
    <i t="grand">
      <x/>
    </i>
  </rowItems>
  <colFields count="1">
    <field x="4"/>
  </colFields>
  <colItems count="9">
    <i>
      <x/>
    </i>
    <i>
      <x v="1"/>
    </i>
    <i>
      <x v="2"/>
    </i>
    <i>
      <x v="3"/>
    </i>
    <i>
      <x v="4"/>
    </i>
    <i>
      <x v="5"/>
    </i>
    <i>
      <x v="6"/>
    </i>
    <i>
      <x v="7"/>
    </i>
    <i t="grand">
      <x/>
    </i>
  </colItems>
  <dataFields count="1">
    <dataField name="Sum of sales" fld="10" baseField="0" baseItem="0"/>
  </dataFields>
  <chartFormats count="16">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0"/>
          </reference>
          <reference field="4" count="1" selected="0">
            <x v="4"/>
          </reference>
        </references>
      </pivotArea>
    </chartFormat>
    <chartFormat chart="0" format="5" series="1">
      <pivotArea type="data" outline="0" fieldPosition="0">
        <references count="2">
          <reference field="4294967294" count="1" selected="0">
            <x v="0"/>
          </reference>
          <reference field="4" count="1" selected="0">
            <x v="5"/>
          </reference>
        </references>
      </pivotArea>
    </chartFormat>
    <chartFormat chart="0" format="6" series="1">
      <pivotArea type="data" outline="0" fieldPosition="0">
        <references count="2">
          <reference field="4294967294" count="1" selected="0">
            <x v="0"/>
          </reference>
          <reference field="4" count="1" selected="0">
            <x v="6"/>
          </reference>
        </references>
      </pivotArea>
    </chartFormat>
    <chartFormat chart="0" format="7" series="1">
      <pivotArea type="data" outline="0" fieldPosition="0">
        <references count="2">
          <reference field="4294967294" count="1" selected="0">
            <x v="0"/>
          </reference>
          <reference field="4" count="1" selected="0">
            <x v="7"/>
          </reference>
        </references>
      </pivotArea>
    </chartFormat>
    <chartFormat chart="3" format="9" series="1">
      <pivotArea type="data" outline="0" fieldPosition="0">
        <references count="2">
          <reference field="4294967294" count="1" selected="0">
            <x v="0"/>
          </reference>
          <reference field="4" count="1" selected="0">
            <x v="3"/>
          </reference>
        </references>
      </pivotArea>
    </chartFormat>
    <chartFormat chart="3" format="10" series="1">
      <pivotArea type="data" outline="0" fieldPosition="0">
        <references count="2">
          <reference field="4294967294" count="1" selected="0">
            <x v="0"/>
          </reference>
          <reference field="4" count="1" selected="0">
            <x v="1"/>
          </reference>
        </references>
      </pivotArea>
    </chartFormat>
    <chartFormat chart="3" format="11" series="1">
      <pivotArea type="data" outline="0" fieldPosition="0">
        <references count="2">
          <reference field="4294967294" count="1" selected="0">
            <x v="0"/>
          </reference>
          <reference field="4" count="1" selected="0">
            <x v="2"/>
          </reference>
        </references>
      </pivotArea>
    </chartFormat>
    <chartFormat chart="3" format="12" series="1">
      <pivotArea type="data" outline="0" fieldPosition="0">
        <references count="2">
          <reference field="4294967294" count="1" selected="0">
            <x v="0"/>
          </reference>
          <reference field="4" count="1" selected="0">
            <x v="4"/>
          </reference>
        </references>
      </pivotArea>
    </chartFormat>
    <chartFormat chart="3" format="13" series="1">
      <pivotArea type="data" outline="0" fieldPosition="0">
        <references count="2">
          <reference field="4294967294" count="1" selected="0">
            <x v="0"/>
          </reference>
          <reference field="4" count="1" selected="0">
            <x v="5"/>
          </reference>
        </references>
      </pivotArea>
    </chartFormat>
    <chartFormat chart="3" format="14" series="1">
      <pivotArea type="data" outline="0" fieldPosition="0">
        <references count="2">
          <reference field="4294967294" count="1" selected="0">
            <x v="0"/>
          </reference>
          <reference field="4" count="1" selected="0">
            <x v="6"/>
          </reference>
        </references>
      </pivotArea>
    </chartFormat>
    <chartFormat chart="3" format="15" series="1">
      <pivotArea type="data" outline="0" fieldPosition="0">
        <references count="2">
          <reference field="4294967294" count="1" selected="0">
            <x v="0"/>
          </reference>
          <reference field="4" count="1" selected="0">
            <x v="7"/>
          </reference>
        </references>
      </pivotArea>
    </chartFormat>
    <chartFormat chart="3" format="16"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AB1BE3D-2303-4D50-9ECD-13DAE9831219}" name="PivotTable3"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H13" firstHeaderRow="1" firstDataRow="2" firstDataCol="1"/>
  <pivotFields count="14">
    <pivotField showAll="0"/>
    <pivotField dataField="1" showAll="0"/>
    <pivotField showAll="0">
      <items count="3">
        <item x="1"/>
        <item x="0"/>
        <item t="default"/>
      </items>
    </pivotField>
    <pivotField numFmtId="164" showAll="0"/>
    <pivotField showAll="0"/>
    <pivotField showAll="0"/>
    <pivotField numFmtId="44" showAll="0"/>
    <pivotField showAll="0"/>
    <pivotField numFmtId="14" showAll="0">
      <items count="68">
        <item x="17"/>
        <item x="25"/>
        <item x="39"/>
        <item x="0"/>
        <item x="62"/>
        <item x="5"/>
        <item x="1"/>
        <item x="12"/>
        <item x="61"/>
        <item x="51"/>
        <item x="45"/>
        <item x="4"/>
        <item x="9"/>
        <item x="57"/>
        <item x="6"/>
        <item x="40"/>
        <item x="15"/>
        <item x="23"/>
        <item x="8"/>
        <item x="32"/>
        <item x="60"/>
        <item x="2"/>
        <item x="58"/>
        <item x="20"/>
        <item x="47"/>
        <item x="59"/>
        <item x="52"/>
        <item x="55"/>
        <item x="13"/>
        <item x="38"/>
        <item x="19"/>
        <item x="26"/>
        <item x="36"/>
        <item x="41"/>
        <item x="29"/>
        <item x="63"/>
        <item x="31"/>
        <item x="37"/>
        <item x="48"/>
        <item x="43"/>
        <item x="3"/>
        <item x="65"/>
        <item x="53"/>
        <item x="22"/>
        <item x="66"/>
        <item x="54"/>
        <item x="11"/>
        <item x="28"/>
        <item x="34"/>
        <item x="42"/>
        <item x="7"/>
        <item x="27"/>
        <item x="64"/>
        <item x="21"/>
        <item x="16"/>
        <item x="50"/>
        <item x="46"/>
        <item x="14"/>
        <item x="49"/>
        <item x="56"/>
        <item x="10"/>
        <item x="18"/>
        <item x="33"/>
        <item x="24"/>
        <item x="35"/>
        <item x="30"/>
        <item x="44"/>
        <item t="default"/>
      </items>
    </pivotField>
    <pivotField axis="axisRow" showAll="0" sortType="descending">
      <items count="11">
        <item x="8"/>
        <item x="9"/>
        <item x="1"/>
        <item x="2"/>
        <item x="5"/>
        <item x="4"/>
        <item x="3"/>
        <item x="7"/>
        <item x="0"/>
        <item x="6"/>
        <item t="default"/>
      </items>
    </pivotField>
    <pivotField numFmtId="44" showAll="0"/>
    <pivotField axis="axisCol" showAll="0" sortType="ascending">
      <items count="7">
        <item x="5"/>
        <item x="4"/>
        <item x="3"/>
        <item x="2"/>
        <item x="1"/>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9"/>
  </rowFields>
  <rowItems count="11">
    <i>
      <x/>
    </i>
    <i>
      <x v="1"/>
    </i>
    <i>
      <x v="2"/>
    </i>
    <i>
      <x v="3"/>
    </i>
    <i>
      <x v="4"/>
    </i>
    <i>
      <x v="5"/>
    </i>
    <i>
      <x v="6"/>
    </i>
    <i>
      <x v="7"/>
    </i>
    <i>
      <x v="8"/>
    </i>
    <i>
      <x v="9"/>
    </i>
    <i t="grand">
      <x/>
    </i>
  </rowItems>
  <colFields count="1">
    <field x="11"/>
  </colFields>
  <colItems count="7">
    <i>
      <x/>
    </i>
    <i>
      <x v="1"/>
    </i>
    <i>
      <x v="2"/>
    </i>
    <i>
      <x v="3"/>
    </i>
    <i>
      <x v="4"/>
    </i>
    <i>
      <x v="5"/>
    </i>
    <i t="grand">
      <x/>
    </i>
  </colItems>
  <dataFields count="1">
    <dataField name="Count of customer_id" fld="1" subtotal="count" baseField="0" baseItem="0"/>
  </dataFields>
  <chartFormats count="12">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 chart="0" format="3" series="1">
      <pivotArea type="data" outline="0" fieldPosition="0">
        <references count="2">
          <reference field="4294967294" count="1" selected="0">
            <x v="0"/>
          </reference>
          <reference field="11" count="1" selected="0">
            <x v="3"/>
          </reference>
        </references>
      </pivotArea>
    </chartFormat>
    <chartFormat chart="0" format="4" series="1">
      <pivotArea type="data" outline="0" fieldPosition="0">
        <references count="2">
          <reference field="4294967294" count="1" selected="0">
            <x v="0"/>
          </reference>
          <reference field="11" count="1" selected="0">
            <x v="4"/>
          </reference>
        </references>
      </pivotArea>
    </chartFormat>
    <chartFormat chart="0" format="5" series="1">
      <pivotArea type="data" outline="0" fieldPosition="0">
        <references count="2">
          <reference field="4294967294" count="1" selected="0">
            <x v="0"/>
          </reference>
          <reference field="11" count="1" selected="0">
            <x v="5"/>
          </reference>
        </references>
      </pivotArea>
    </chartFormat>
    <chartFormat chart="3" format="12" series="1">
      <pivotArea type="data" outline="0" fieldPosition="0">
        <references count="2">
          <reference field="4294967294" count="1" selected="0">
            <x v="0"/>
          </reference>
          <reference field="11" count="1" selected="0">
            <x v="0"/>
          </reference>
        </references>
      </pivotArea>
    </chartFormat>
    <chartFormat chart="3" format="13" series="1">
      <pivotArea type="data" outline="0" fieldPosition="0">
        <references count="2">
          <reference field="4294967294" count="1" selected="0">
            <x v="0"/>
          </reference>
          <reference field="11" count="1" selected="0">
            <x v="1"/>
          </reference>
        </references>
      </pivotArea>
    </chartFormat>
    <chartFormat chart="3" format="14" series="1">
      <pivotArea type="data" outline="0" fieldPosition="0">
        <references count="2">
          <reference field="4294967294" count="1" selected="0">
            <x v="0"/>
          </reference>
          <reference field="11" count="1" selected="0">
            <x v="2"/>
          </reference>
        </references>
      </pivotArea>
    </chartFormat>
    <chartFormat chart="3" format="15" series="1">
      <pivotArea type="data" outline="0" fieldPosition="0">
        <references count="2">
          <reference field="4294967294" count="1" selected="0">
            <x v="0"/>
          </reference>
          <reference field="11" count="1" selected="0">
            <x v="3"/>
          </reference>
        </references>
      </pivotArea>
    </chartFormat>
    <chartFormat chart="3" format="16" series="1">
      <pivotArea type="data" outline="0" fieldPosition="0">
        <references count="2">
          <reference field="4294967294" count="1" selected="0">
            <x v="0"/>
          </reference>
          <reference field="11" count="1" selected="0">
            <x v="4"/>
          </reference>
        </references>
      </pivotArea>
    </chartFormat>
    <chartFormat chart="3" format="17" series="1">
      <pivotArea type="data" outline="0" fieldPosition="0">
        <references count="2">
          <reference field="4294967294" count="1" selected="0">
            <x v="0"/>
          </reference>
          <reference field="1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ED58069-E3C4-4E91-BD83-8B3E31A8243E}" name="PivotTable4"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E11" firstHeaderRow="1" firstDataRow="2" firstDataCol="1"/>
  <pivotFields count="14">
    <pivotField showAll="0"/>
    <pivotField showAll="0"/>
    <pivotField showAll="0"/>
    <pivotField numFmtId="164" showAll="0"/>
    <pivotField axis="axisRow" showAll="0">
      <items count="9">
        <item x="3"/>
        <item x="2"/>
        <item x="6"/>
        <item x="0"/>
        <item x="5"/>
        <item x="7"/>
        <item x="4"/>
        <item x="1"/>
        <item t="default"/>
      </items>
    </pivotField>
    <pivotField showAll="0"/>
    <pivotField numFmtId="44" showAll="0"/>
    <pivotField showAll="0"/>
    <pivotField numFmtId="14" showAll="0">
      <items count="68">
        <item x="17"/>
        <item x="25"/>
        <item x="39"/>
        <item x="0"/>
        <item x="62"/>
        <item x="5"/>
        <item x="1"/>
        <item x="12"/>
        <item x="61"/>
        <item x="51"/>
        <item x="45"/>
        <item x="4"/>
        <item x="9"/>
        <item x="57"/>
        <item x="6"/>
        <item x="40"/>
        <item x="15"/>
        <item x="23"/>
        <item x="8"/>
        <item x="32"/>
        <item x="60"/>
        <item x="2"/>
        <item x="58"/>
        <item x="20"/>
        <item x="47"/>
        <item x="59"/>
        <item x="52"/>
        <item x="55"/>
        <item x="13"/>
        <item x="38"/>
        <item x="19"/>
        <item x="26"/>
        <item x="36"/>
        <item x="41"/>
        <item x="29"/>
        <item x="63"/>
        <item x="31"/>
        <item x="37"/>
        <item x="48"/>
        <item x="43"/>
        <item x="3"/>
        <item x="65"/>
        <item x="53"/>
        <item x="22"/>
        <item x="66"/>
        <item x="54"/>
        <item x="11"/>
        <item x="28"/>
        <item x="34"/>
        <item x="42"/>
        <item x="7"/>
        <item x="27"/>
        <item x="64"/>
        <item x="21"/>
        <item x="16"/>
        <item x="50"/>
        <item x="46"/>
        <item x="14"/>
        <item x="49"/>
        <item x="56"/>
        <item x="10"/>
        <item x="18"/>
        <item x="33"/>
        <item x="24"/>
        <item x="35"/>
        <item x="30"/>
        <item x="44"/>
        <item t="default"/>
      </items>
    </pivotField>
    <pivotField showAll="0"/>
    <pivotField dataField="1" numFmtId="44"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Col" showAll="0">
      <items count="15">
        <item sd="0" x="0"/>
        <item sd="0" x="1"/>
        <item sd="0" x="2"/>
        <item sd="0" x="3"/>
        <item sd="0" x="4"/>
        <item sd="0" x="5"/>
        <item sd="0" x="6"/>
        <item sd="0" x="7"/>
        <item sd="0" x="8"/>
        <item sd="0" x="9"/>
        <item sd="0" x="10"/>
        <item sd="0" x="11"/>
        <item sd="0" x="12"/>
        <item sd="0" x="13"/>
        <item t="default"/>
      </items>
    </pivotField>
  </pivotFields>
  <rowFields count="1">
    <field x="4"/>
  </rowFields>
  <rowItems count="9">
    <i>
      <x/>
    </i>
    <i>
      <x v="1"/>
    </i>
    <i>
      <x v="2"/>
    </i>
    <i>
      <x v="3"/>
    </i>
    <i>
      <x v="4"/>
    </i>
    <i>
      <x v="5"/>
    </i>
    <i>
      <x v="6"/>
    </i>
    <i>
      <x v="7"/>
    </i>
    <i t="grand">
      <x/>
    </i>
  </rowItems>
  <colFields count="1">
    <field x="13"/>
  </colFields>
  <colItems count="4">
    <i>
      <x v="1"/>
    </i>
    <i>
      <x v="2"/>
    </i>
    <i>
      <x v="3"/>
    </i>
    <i t="grand">
      <x/>
    </i>
  </colItems>
  <dataFields count="1">
    <dataField name="Sum of sales" fld="10" baseField="0" baseItem="0"/>
  </dataFields>
  <chartFormats count="8">
    <chartFormat chart="0" format="0" series="1">
      <pivotArea type="data" outline="0" fieldPosition="0">
        <references count="2">
          <reference field="4294967294" count="1" selected="0">
            <x v="0"/>
          </reference>
          <reference field="13" count="1" selected="0">
            <x v="1"/>
          </reference>
        </references>
      </pivotArea>
    </chartFormat>
    <chartFormat chart="0" format="1" series="1">
      <pivotArea type="data" outline="0" fieldPosition="0">
        <references count="2">
          <reference field="4294967294" count="1" selected="0">
            <x v="0"/>
          </reference>
          <reference field="13" count="1" selected="0">
            <x v="2"/>
          </reference>
        </references>
      </pivotArea>
    </chartFormat>
    <chartFormat chart="0" format="2" series="1">
      <pivotArea type="data" outline="0" fieldPosition="0">
        <references count="2">
          <reference field="4294967294" count="1" selected="0">
            <x v="0"/>
          </reference>
          <reference field="13" count="1" selected="0">
            <x v="3"/>
          </reference>
        </references>
      </pivotArea>
    </chartFormat>
    <chartFormat chart="3" format="4" series="1">
      <pivotArea type="data" outline="0" fieldPosition="0">
        <references count="2">
          <reference field="4294967294" count="1" selected="0">
            <x v="0"/>
          </reference>
          <reference field="13" count="1" selected="0">
            <x v="3"/>
          </reference>
        </references>
      </pivotArea>
    </chartFormat>
    <chartFormat chart="3" format="5"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0"/>
          </reference>
        </references>
      </pivotArea>
    </chartFormat>
    <chartFormat chart="3" format="6" series="1">
      <pivotArea type="data" outline="0" fieldPosition="0">
        <references count="2">
          <reference field="4294967294" count="1" selected="0">
            <x v="0"/>
          </reference>
          <reference field="13" count="1" selected="0">
            <x v="2"/>
          </reference>
        </references>
      </pivotArea>
    </chartFormat>
    <chartFormat chart="3" format="7"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8A1A4D-BAB1-4B2B-9A14-8AB7F3DE075D}"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C6" firstHeaderRow="1" firstDataRow="2" firstDataCol="1"/>
  <pivotFields count="14">
    <pivotField showAll="0"/>
    <pivotField dataField="1" showAll="0"/>
    <pivotField showAll="0"/>
    <pivotField numFmtId="164" showAll="0"/>
    <pivotField showAll="0"/>
    <pivotField showAll="0"/>
    <pivotField numFmtId="44" showAll="0"/>
    <pivotField axis="axisRow" showAll="0">
      <items count="4">
        <item x="1"/>
        <item x="0"/>
        <item x="2"/>
        <item t="default"/>
      </items>
    </pivotField>
    <pivotField numFmtId="14" showAll="0">
      <items count="68">
        <item x="17"/>
        <item x="25"/>
        <item x="39"/>
        <item x="0"/>
        <item x="62"/>
        <item x="5"/>
        <item x="1"/>
        <item x="12"/>
        <item x="61"/>
        <item x="51"/>
        <item x="45"/>
        <item x="4"/>
        <item x="9"/>
        <item x="57"/>
        <item x="6"/>
        <item x="40"/>
        <item x="15"/>
        <item x="23"/>
        <item x="8"/>
        <item x="32"/>
        <item x="60"/>
        <item x="2"/>
        <item x="58"/>
        <item x="20"/>
        <item x="47"/>
        <item x="59"/>
        <item x="52"/>
        <item x="55"/>
        <item x="13"/>
        <item x="38"/>
        <item x="19"/>
        <item x="26"/>
        <item x="36"/>
        <item x="41"/>
        <item x="29"/>
        <item x="63"/>
        <item x="31"/>
        <item x="37"/>
        <item x="48"/>
        <item x="43"/>
        <item x="3"/>
        <item x="65"/>
        <item x="53"/>
        <item x="22"/>
        <item x="66"/>
        <item x="54"/>
        <item x="11"/>
        <item x="28"/>
        <item x="34"/>
        <item x="42"/>
        <item x="7"/>
        <item x="27"/>
        <item x="64"/>
        <item x="21"/>
        <item x="16"/>
        <item x="50"/>
        <item x="46"/>
        <item x="14"/>
        <item x="49"/>
        <item x="56"/>
        <item x="10"/>
        <item x="18"/>
        <item x="33"/>
        <item x="24"/>
        <item x="35"/>
        <item x="30"/>
        <item x="44"/>
        <item t="default"/>
      </items>
    </pivotField>
    <pivotField showAll="0"/>
    <pivotField numFmtId="44" showAll="0"/>
    <pivotField axis="axisCol" showAll="0">
      <items count="7">
        <item h="1" x="5"/>
        <item x="4"/>
        <item h="1" x="3"/>
        <item h="1" x="2"/>
        <item h="1" x="1"/>
        <item h="1" x="0"/>
        <item t="default"/>
      </items>
    </pivotField>
    <pivotField showAll="0" defaultSubtotal="0"/>
    <pivotField showAll="0" defaultSubtotal="0">
      <items count="14">
        <item x="0"/>
        <item x="1"/>
        <item x="2"/>
        <item x="3"/>
        <item x="4"/>
        <item x="5"/>
        <item x="6"/>
        <item x="7"/>
        <item x="8"/>
        <item x="9"/>
        <item x="10"/>
        <item x="11"/>
        <item x="12"/>
        <item x="13"/>
      </items>
    </pivotField>
  </pivotFields>
  <rowFields count="1">
    <field x="7"/>
  </rowFields>
  <rowItems count="4">
    <i>
      <x/>
    </i>
    <i>
      <x v="1"/>
    </i>
    <i>
      <x v="2"/>
    </i>
    <i t="grand">
      <x/>
    </i>
  </rowItems>
  <colFields count="1">
    <field x="11"/>
  </colFields>
  <colItems count="2">
    <i>
      <x v="1"/>
    </i>
    <i t="grand">
      <x/>
    </i>
  </colItems>
  <dataFields count="1">
    <dataField name="Count of customer_id" fld="1" subtotal="count" baseField="0" baseItem="0"/>
  </dataFields>
  <chartFormats count="12">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 chart="0" format="3" series="1">
      <pivotArea type="data" outline="0" fieldPosition="0">
        <references count="2">
          <reference field="4294967294" count="1" selected="0">
            <x v="0"/>
          </reference>
          <reference field="11" count="1" selected="0">
            <x v="3"/>
          </reference>
        </references>
      </pivotArea>
    </chartFormat>
    <chartFormat chart="0" format="4" series="1">
      <pivotArea type="data" outline="0" fieldPosition="0">
        <references count="2">
          <reference field="4294967294" count="1" selected="0">
            <x v="0"/>
          </reference>
          <reference field="11" count="1" selected="0">
            <x v="4"/>
          </reference>
        </references>
      </pivotArea>
    </chartFormat>
    <chartFormat chart="0" format="5" series="1">
      <pivotArea type="data" outline="0" fieldPosition="0">
        <references count="2">
          <reference field="4294967294" count="1" selected="0">
            <x v="0"/>
          </reference>
          <reference field="11" count="1" selected="0">
            <x v="5"/>
          </reference>
        </references>
      </pivotArea>
    </chartFormat>
    <chartFormat chart="2" format="7" series="1">
      <pivotArea type="data" outline="0" fieldPosition="0">
        <references count="2">
          <reference field="4294967294" count="1" selected="0">
            <x v="0"/>
          </reference>
          <reference field="11" count="1" selected="0">
            <x v="5"/>
          </reference>
        </references>
      </pivotArea>
    </chartFormat>
    <chartFormat chart="2" format="8" series="1">
      <pivotArea type="data" outline="0" fieldPosition="0">
        <references count="2">
          <reference field="4294967294" count="1" selected="0">
            <x v="0"/>
          </reference>
          <reference field="11" count="1" selected="0">
            <x v="1"/>
          </reference>
        </references>
      </pivotArea>
    </chartFormat>
    <chartFormat chart="2" format="9" series="1">
      <pivotArea type="data" outline="0" fieldPosition="0">
        <references count="2">
          <reference field="4294967294" count="1" selected="0">
            <x v="0"/>
          </reference>
          <reference field="11" count="1" selected="0">
            <x v="2"/>
          </reference>
        </references>
      </pivotArea>
    </chartFormat>
    <chartFormat chart="2" format="10" series="1">
      <pivotArea type="data" outline="0" fieldPosition="0">
        <references count="2">
          <reference field="4294967294" count="1" selected="0">
            <x v="0"/>
          </reference>
          <reference field="11" count="1" selected="0">
            <x v="3"/>
          </reference>
        </references>
      </pivotArea>
    </chartFormat>
    <chartFormat chart="2" format="11" series="1">
      <pivotArea type="data" outline="0" fieldPosition="0">
        <references count="2">
          <reference field="4294967294" count="1" selected="0">
            <x v="0"/>
          </reference>
          <reference field="11" count="1" selected="0">
            <x v="4"/>
          </reference>
        </references>
      </pivotArea>
    </chartFormat>
    <chartFormat chart="2" format="12" series="1">
      <pivotArea type="data" outline="0" fieldPosition="0">
        <references count="2">
          <reference field="4294967294" count="1" selected="0">
            <x v="0"/>
          </reference>
          <reference field="1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pivotTables>
    <pivotTable tabId="5" name="PivotTable1"/>
  </pivotTables>
  <data>
    <tabular pivotCacheId="375320208">
      <items count="8">
        <i x="3" s="1"/>
        <i x="2" s="1"/>
        <i x="6" s="1"/>
        <i x="0" s="1"/>
        <i x="5" s="1"/>
        <i x="7" s="1"/>
        <i x="4"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EA9C97C1-4AA2-4C4D-BCCA-7415FD2C3E6D}" sourceName="gender">
  <pivotTables>
    <pivotTable tabId="13" name="PivotTable3"/>
  </pivotTables>
  <data>
    <tabular pivotCacheId="375320208">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invoice_date" xr10:uid="{4122BF86-E20F-4FA1-8AFF-48AA403C97F2}" sourceName="Months (invoice_date)">
  <pivotTables>
    <pivotTable tabId="14" name="PivotTable4"/>
  </pivotTables>
  <data>
    <tabular pivotCacheId="375320208">
      <items count="14">
        <i x="1" s="1"/>
        <i x="2" s="1"/>
        <i x="3" s="1"/>
        <i x="4" s="1" nd="1"/>
        <i x="5" s="1" nd="1"/>
        <i x="6" s="1" nd="1"/>
        <i x="7" s="1" nd="1"/>
        <i x="8" s="1" nd="1"/>
        <i x="9" s="1" nd="1"/>
        <i x="10" s="1" nd="1"/>
        <i x="11" s="1" nd="1"/>
        <i x="12" s="1" nd="1"/>
        <i x="0" s="1" nd="1"/>
        <i x="1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5E501FA1-3C72-4D90-BDA1-331334F462C2}" sourceName="age group">
  <pivotTables>
    <pivotTable tabId="16" name="PivotTable5"/>
  </pivotTables>
  <data>
    <tabular pivotCacheId="375320208">
      <items count="6">
        <i x="5"/>
        <i x="4" s="1"/>
        <i x="3"/>
        <i x="2"/>
        <i x="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category"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A27574A3-E166-43FB-B011-81F2753B5F2C}" cache="Slicer_gender" caption="gender"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invoice_date)" xr10:uid="{15890F37-7683-4134-A6E0-6CF3D33F69C2}" cache="Slicer_Months__invoice_date" caption="Months (invoice_date)"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 xr10:uid="{80F48FCA-57F8-4DA8-97DA-CC77B2F09B35}" cache="Slicer_age_group" caption="age group"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E2B7C6DD-29A8-4574-B5A1-7E1D6A982240}" cache="Slicer_category" caption="category" rowHeight="241300"/>
  <slicer name="gender 1" xr10:uid="{16907BBD-C10B-45C6-B22B-61C3BE9F81A2}" cache="Slicer_gender" caption="gender" rowHeight="241300"/>
  <slicer name="Months (invoice_date) 1" xr10:uid="{13E81ABA-127E-4DAF-A167-161D526B07F4}" cache="Slicer_Months__invoice_date" caption="Months (invoice_date)" rowHeight="241300"/>
  <slicer name="age group 1" xr10:uid="{007FA0BD-BAB7-4A93-9FD4-C27F59BBC301}" cache="Slicer_age_group" caption="age group"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hil" displayName="sahil" ref="A1:L250" totalsRowShown="0" headerRowDxfId="15" headerRowBorderDxfId="14" tableBorderDxfId="13" totalsRowBorderDxfId="12">
  <autoFilter ref="A1:L250" xr:uid="{00000000-0009-0000-0100-000001000000}"/>
  <sortState xmlns:xlrd2="http://schemas.microsoft.com/office/spreadsheetml/2017/richdata2" ref="A2:L250">
    <sortCondition descending="1" ref="L1:L250"/>
  </sortState>
  <tableColumns count="12">
    <tableColumn id="1" xr3:uid="{00000000-0010-0000-0000-000001000000}" name="invoice_no" dataDxfId="11"/>
    <tableColumn id="2" xr3:uid="{00000000-0010-0000-0000-000002000000}" name="customer_id" dataDxfId="10"/>
    <tableColumn id="3" xr3:uid="{00000000-0010-0000-0000-000003000000}" name="gender" dataDxfId="9"/>
    <tableColumn id="4" xr3:uid="{00000000-0010-0000-0000-000004000000}" name="age" dataDxfId="8"/>
    <tableColumn id="5" xr3:uid="{00000000-0010-0000-0000-000005000000}" name="category" dataDxfId="7"/>
    <tableColumn id="6" xr3:uid="{00000000-0010-0000-0000-000006000000}" name="quantity" dataDxfId="6"/>
    <tableColumn id="7" xr3:uid="{00000000-0010-0000-0000-000007000000}" name="price" dataDxfId="5" dataCellStyle="Currency"/>
    <tableColumn id="8" xr3:uid="{00000000-0010-0000-0000-000008000000}" name="payment_method" dataDxfId="4"/>
    <tableColumn id="9" xr3:uid="{00000000-0010-0000-0000-000009000000}" name="invoice_date" dataDxfId="3"/>
    <tableColumn id="10" xr3:uid="{00000000-0010-0000-0000-00000A000000}" name="shopping_mall" dataDxfId="2"/>
    <tableColumn id="11" xr3:uid="{00000000-0010-0000-0000-00000B000000}" name="sales" dataDxfId="1">
      <calculatedColumnFormula>F2*G2</calculatedColumnFormula>
    </tableColumn>
    <tableColumn id="12" xr3:uid="{C6DB679E-46DC-40B7-9B0E-2F669198E192}" name="age group" dataDxfId="0">
      <calculatedColumnFormula>IF(AND(D2&gt;=65,D2&lt;=69),"65-69",IF(AND(D2&gt;=55,D2&lt;=64),"55-64",IF(AND(D2&gt;=45,D2&lt;= 54),"45-54", IF(AND(D2&gt;=35,D2&lt;=44),"35-44", IF(AND(D2&gt;=25,D2&lt;=34),"25-34",IF(AND(D2&gt;=18,D2&lt;=24),"18-24","invalid"))))))</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250"/>
  <sheetViews>
    <sheetView workbookViewId="0">
      <selection activeCell="N250" sqref="N250"/>
    </sheetView>
  </sheetViews>
  <sheetFormatPr defaultRowHeight="14.25" x14ac:dyDescent="0.45"/>
  <sheetData>
    <row r="1" spans="1:10" x14ac:dyDescent="0.45">
      <c r="A1" s="2" t="s">
        <v>0</v>
      </c>
      <c r="B1" s="2" t="s">
        <v>1</v>
      </c>
      <c r="C1" s="2" t="s">
        <v>2</v>
      </c>
      <c r="D1" s="2" t="s">
        <v>3</v>
      </c>
      <c r="E1" s="2" t="s">
        <v>4</v>
      </c>
      <c r="F1" s="2" t="s">
        <v>5</v>
      </c>
      <c r="G1" s="2" t="s">
        <v>6</v>
      </c>
      <c r="H1" s="2" t="s">
        <v>7</v>
      </c>
      <c r="I1" s="2" t="s">
        <v>8</v>
      </c>
      <c r="J1" s="2" t="s">
        <v>9</v>
      </c>
    </row>
    <row r="2" spans="1:10" x14ac:dyDescent="0.45">
      <c r="A2" t="s">
        <v>31</v>
      </c>
      <c r="B2" t="s">
        <v>32</v>
      </c>
      <c r="C2" t="s">
        <v>14</v>
      </c>
      <c r="D2">
        <v>24</v>
      </c>
      <c r="E2" t="s">
        <v>27</v>
      </c>
      <c r="F2">
        <v>4</v>
      </c>
      <c r="G2">
        <v>143.36000000000001</v>
      </c>
      <c r="H2" t="s">
        <v>18</v>
      </c>
      <c r="I2" s="1">
        <v>44992</v>
      </c>
      <c r="J2" t="s">
        <v>28</v>
      </c>
    </row>
    <row r="3" spans="1:10" x14ac:dyDescent="0.45">
      <c r="A3" t="s">
        <v>33</v>
      </c>
      <c r="B3" t="s">
        <v>34</v>
      </c>
      <c r="C3" t="s">
        <v>14</v>
      </c>
      <c r="D3">
        <v>23</v>
      </c>
      <c r="E3" t="s">
        <v>11</v>
      </c>
      <c r="F3">
        <v>1</v>
      </c>
      <c r="G3">
        <v>300.08</v>
      </c>
      <c r="H3" t="s">
        <v>12</v>
      </c>
      <c r="I3" s="1">
        <v>44972</v>
      </c>
      <c r="J3" t="s">
        <v>26</v>
      </c>
    </row>
    <row r="4" spans="1:10" x14ac:dyDescent="0.45">
      <c r="A4" t="s">
        <v>36</v>
      </c>
      <c r="B4" t="s">
        <v>37</v>
      </c>
      <c r="C4" t="s">
        <v>14</v>
      </c>
      <c r="D4">
        <v>68</v>
      </c>
      <c r="E4" t="s">
        <v>25</v>
      </c>
      <c r="F4">
        <v>1</v>
      </c>
      <c r="G4">
        <v>5.23</v>
      </c>
      <c r="H4" t="s">
        <v>12</v>
      </c>
      <c r="I4" s="1">
        <v>44930</v>
      </c>
      <c r="J4" t="s">
        <v>26</v>
      </c>
    </row>
    <row r="5" spans="1:10" x14ac:dyDescent="0.45">
      <c r="A5" t="s">
        <v>38</v>
      </c>
      <c r="B5" t="s">
        <v>39</v>
      </c>
      <c r="C5" t="s">
        <v>10</v>
      </c>
      <c r="D5">
        <v>19</v>
      </c>
      <c r="E5" t="s">
        <v>22</v>
      </c>
      <c r="F5">
        <v>3</v>
      </c>
      <c r="G5">
        <v>121.98</v>
      </c>
      <c r="H5" t="s">
        <v>12</v>
      </c>
      <c r="I5" s="1">
        <v>44938</v>
      </c>
      <c r="J5" t="s">
        <v>24</v>
      </c>
    </row>
    <row r="6" spans="1:10" x14ac:dyDescent="0.45">
      <c r="A6" t="s">
        <v>40</v>
      </c>
      <c r="B6" t="s">
        <v>41</v>
      </c>
      <c r="C6" t="s">
        <v>10</v>
      </c>
      <c r="D6">
        <v>41</v>
      </c>
      <c r="E6" t="s">
        <v>21</v>
      </c>
      <c r="F6">
        <v>3</v>
      </c>
      <c r="G6">
        <v>45.45</v>
      </c>
      <c r="H6" t="s">
        <v>18</v>
      </c>
      <c r="I6" s="1">
        <v>44981</v>
      </c>
      <c r="J6" t="s">
        <v>23</v>
      </c>
    </row>
    <row r="7" spans="1:10" x14ac:dyDescent="0.45">
      <c r="A7" t="s">
        <v>42</v>
      </c>
      <c r="B7" t="s">
        <v>43</v>
      </c>
      <c r="C7" t="s">
        <v>10</v>
      </c>
      <c r="D7">
        <v>53</v>
      </c>
      <c r="E7" t="s">
        <v>22</v>
      </c>
      <c r="F7">
        <v>2</v>
      </c>
      <c r="G7">
        <v>81.319999999999993</v>
      </c>
      <c r="H7" t="s">
        <v>12</v>
      </c>
      <c r="I7" s="1">
        <v>44938</v>
      </c>
      <c r="J7" t="s">
        <v>23</v>
      </c>
    </row>
    <row r="8" spans="1:10" x14ac:dyDescent="0.45">
      <c r="A8" t="s">
        <v>45</v>
      </c>
      <c r="B8" t="s">
        <v>46</v>
      </c>
      <c r="C8" t="s">
        <v>14</v>
      </c>
      <c r="D8">
        <v>67</v>
      </c>
      <c r="E8" t="s">
        <v>27</v>
      </c>
      <c r="F8">
        <v>3</v>
      </c>
      <c r="G8">
        <v>107.52</v>
      </c>
      <c r="H8" t="s">
        <v>18</v>
      </c>
      <c r="I8" s="1">
        <v>44933</v>
      </c>
      <c r="J8" t="s">
        <v>26</v>
      </c>
    </row>
    <row r="9" spans="1:10" x14ac:dyDescent="0.45">
      <c r="A9" t="s">
        <v>47</v>
      </c>
      <c r="B9" t="s">
        <v>48</v>
      </c>
      <c r="C9" t="s">
        <v>14</v>
      </c>
      <c r="D9">
        <v>60</v>
      </c>
      <c r="E9" t="s">
        <v>22</v>
      </c>
      <c r="F9">
        <v>4</v>
      </c>
      <c r="G9">
        <v>162.63999999999999</v>
      </c>
      <c r="H9" t="s">
        <v>12</v>
      </c>
      <c r="I9" s="1">
        <v>44932</v>
      </c>
      <c r="J9" t="s">
        <v>19</v>
      </c>
    </row>
    <row r="10" spans="1:10" x14ac:dyDescent="0.45">
      <c r="A10" t="s">
        <v>49</v>
      </c>
      <c r="B10" t="s">
        <v>50</v>
      </c>
      <c r="C10" t="s">
        <v>14</v>
      </c>
      <c r="D10">
        <v>65</v>
      </c>
      <c r="E10" t="s">
        <v>11</v>
      </c>
      <c r="F10">
        <v>4</v>
      </c>
      <c r="G10">
        <v>1200.32</v>
      </c>
      <c r="H10" t="s">
        <v>16</v>
      </c>
      <c r="I10" s="1">
        <v>44948</v>
      </c>
      <c r="J10" t="s">
        <v>20</v>
      </c>
    </row>
    <row r="11" spans="1:10" x14ac:dyDescent="0.45">
      <c r="A11" t="s">
        <v>51</v>
      </c>
      <c r="B11" t="s">
        <v>52</v>
      </c>
      <c r="C11" t="s">
        <v>14</v>
      </c>
      <c r="D11">
        <v>55</v>
      </c>
      <c r="E11" t="s">
        <v>11</v>
      </c>
      <c r="F11">
        <v>4</v>
      </c>
      <c r="G11">
        <v>1200.32</v>
      </c>
      <c r="H11" t="s">
        <v>12</v>
      </c>
      <c r="I11" s="1">
        <v>44950</v>
      </c>
      <c r="J11" t="s">
        <v>13</v>
      </c>
    </row>
    <row r="12" spans="1:10" x14ac:dyDescent="0.45">
      <c r="A12" t="s">
        <v>53</v>
      </c>
      <c r="B12" t="s">
        <v>54</v>
      </c>
      <c r="C12" t="s">
        <v>10</v>
      </c>
      <c r="D12">
        <v>32</v>
      </c>
      <c r="E12" t="s">
        <v>11</v>
      </c>
      <c r="F12">
        <v>1</v>
      </c>
      <c r="G12">
        <v>300.08</v>
      </c>
      <c r="H12" t="s">
        <v>12</v>
      </c>
      <c r="I12" s="1">
        <v>44941</v>
      </c>
      <c r="J12" t="s">
        <v>17</v>
      </c>
    </row>
    <row r="13" spans="1:10" x14ac:dyDescent="0.45">
      <c r="A13" t="s">
        <v>55</v>
      </c>
      <c r="B13" t="s">
        <v>56</v>
      </c>
      <c r="C13" t="s">
        <v>10</v>
      </c>
      <c r="D13">
        <v>31</v>
      </c>
      <c r="E13" t="s">
        <v>11</v>
      </c>
      <c r="F13">
        <v>2</v>
      </c>
      <c r="G13">
        <v>600.16</v>
      </c>
      <c r="H13" t="s">
        <v>12</v>
      </c>
      <c r="I13" s="1">
        <v>44958</v>
      </c>
      <c r="J13" t="s">
        <v>13</v>
      </c>
    </row>
    <row r="14" spans="1:10" x14ac:dyDescent="0.45">
      <c r="A14" t="s">
        <v>57</v>
      </c>
      <c r="B14" t="s">
        <v>58</v>
      </c>
      <c r="C14" t="s">
        <v>14</v>
      </c>
      <c r="D14">
        <v>37</v>
      </c>
      <c r="E14" t="s">
        <v>11</v>
      </c>
      <c r="F14">
        <v>5</v>
      </c>
      <c r="G14">
        <v>1500.4</v>
      </c>
      <c r="H14" t="s">
        <v>18</v>
      </c>
      <c r="I14" s="1">
        <v>44966</v>
      </c>
      <c r="J14" t="s">
        <v>26</v>
      </c>
    </row>
    <row r="15" spans="1:10" x14ac:dyDescent="0.45">
      <c r="A15" t="s">
        <v>59</v>
      </c>
      <c r="B15" t="s">
        <v>60</v>
      </c>
      <c r="C15" t="s">
        <v>14</v>
      </c>
      <c r="D15">
        <v>34</v>
      </c>
      <c r="E15" t="s">
        <v>27</v>
      </c>
      <c r="F15">
        <v>2</v>
      </c>
      <c r="G15">
        <v>71.680000000000007</v>
      </c>
      <c r="H15" t="s">
        <v>16</v>
      </c>
      <c r="I15" s="1">
        <v>44983</v>
      </c>
      <c r="J15" t="s">
        <v>19</v>
      </c>
    </row>
    <row r="16" spans="1:10" x14ac:dyDescent="0.45">
      <c r="A16" t="s">
        <v>61</v>
      </c>
      <c r="B16" t="s">
        <v>62</v>
      </c>
      <c r="C16" t="s">
        <v>10</v>
      </c>
      <c r="D16">
        <v>53</v>
      </c>
      <c r="E16" t="s">
        <v>27</v>
      </c>
      <c r="F16">
        <v>1</v>
      </c>
      <c r="G16">
        <v>35.840000000000003</v>
      </c>
      <c r="H16" t="s">
        <v>16</v>
      </c>
      <c r="I16" s="1">
        <v>44957</v>
      </c>
      <c r="J16" t="s">
        <v>24</v>
      </c>
    </row>
    <row r="17" spans="1:10" x14ac:dyDescent="0.45">
      <c r="A17" t="s">
        <v>63</v>
      </c>
      <c r="B17" t="s">
        <v>64</v>
      </c>
      <c r="C17" t="s">
        <v>10</v>
      </c>
      <c r="D17">
        <v>31</v>
      </c>
      <c r="E17" t="s">
        <v>22</v>
      </c>
      <c r="F17">
        <v>4</v>
      </c>
      <c r="G17">
        <v>162.63999999999999</v>
      </c>
      <c r="H17" t="s">
        <v>18</v>
      </c>
      <c r="I17" s="1">
        <v>44970</v>
      </c>
      <c r="J17" t="s">
        <v>20</v>
      </c>
    </row>
    <row r="18" spans="1:10" x14ac:dyDescent="0.45">
      <c r="A18" t="s">
        <v>65</v>
      </c>
      <c r="B18" t="s">
        <v>66</v>
      </c>
      <c r="C18" t="s">
        <v>10</v>
      </c>
      <c r="D18">
        <v>20</v>
      </c>
      <c r="E18" t="s">
        <v>11</v>
      </c>
      <c r="F18">
        <v>1</v>
      </c>
      <c r="G18">
        <v>300.08</v>
      </c>
      <c r="H18" t="s">
        <v>12</v>
      </c>
      <c r="I18" s="1">
        <v>44937</v>
      </c>
      <c r="J18" t="s">
        <v>24</v>
      </c>
    </row>
    <row r="19" spans="1:10" x14ac:dyDescent="0.45">
      <c r="A19" t="s">
        <v>67</v>
      </c>
      <c r="B19" t="s">
        <v>68</v>
      </c>
      <c r="C19" t="s">
        <v>10</v>
      </c>
      <c r="D19">
        <v>56</v>
      </c>
      <c r="E19" t="s">
        <v>22</v>
      </c>
      <c r="F19">
        <v>1</v>
      </c>
      <c r="G19">
        <v>40.659999999999997</v>
      </c>
      <c r="H19" t="s">
        <v>12</v>
      </c>
      <c r="I19" s="1">
        <v>44980</v>
      </c>
      <c r="J19" t="s">
        <v>13</v>
      </c>
    </row>
    <row r="20" spans="1:10" x14ac:dyDescent="0.45">
      <c r="A20" t="s">
        <v>69</v>
      </c>
      <c r="B20" t="s">
        <v>70</v>
      </c>
      <c r="C20" t="s">
        <v>14</v>
      </c>
      <c r="D20">
        <v>46</v>
      </c>
      <c r="E20" t="s">
        <v>22</v>
      </c>
      <c r="F20">
        <v>4</v>
      </c>
      <c r="G20">
        <v>162.63999999999999</v>
      </c>
      <c r="H20" t="s">
        <v>18</v>
      </c>
      <c r="I20" s="1">
        <v>44960</v>
      </c>
      <c r="J20" t="s">
        <v>24</v>
      </c>
    </row>
    <row r="21" spans="1:10" x14ac:dyDescent="0.45">
      <c r="A21" t="s">
        <v>71</v>
      </c>
      <c r="B21" t="s">
        <v>72</v>
      </c>
      <c r="C21" t="s">
        <v>10</v>
      </c>
      <c r="D21">
        <v>29</v>
      </c>
      <c r="E21" t="s">
        <v>11</v>
      </c>
      <c r="F21">
        <v>1</v>
      </c>
      <c r="G21">
        <v>300.08</v>
      </c>
      <c r="H21" t="s">
        <v>16</v>
      </c>
      <c r="I21" s="1">
        <v>44941</v>
      </c>
      <c r="J21" t="s">
        <v>20</v>
      </c>
    </row>
    <row r="22" spans="1:10" x14ac:dyDescent="0.45">
      <c r="A22" t="s">
        <v>73</v>
      </c>
      <c r="B22" t="s">
        <v>74</v>
      </c>
      <c r="C22" t="s">
        <v>10</v>
      </c>
      <c r="D22">
        <v>44</v>
      </c>
      <c r="E22" t="s">
        <v>15</v>
      </c>
      <c r="F22">
        <v>2</v>
      </c>
      <c r="G22">
        <v>1200.3399999999999</v>
      </c>
      <c r="H22" t="s">
        <v>12</v>
      </c>
      <c r="I22" s="1">
        <v>44938</v>
      </c>
      <c r="J22" t="s">
        <v>13</v>
      </c>
    </row>
    <row r="23" spans="1:10" x14ac:dyDescent="0.45">
      <c r="A23" t="s">
        <v>75</v>
      </c>
      <c r="B23" t="s">
        <v>76</v>
      </c>
      <c r="C23" t="s">
        <v>14</v>
      </c>
      <c r="D23">
        <v>23</v>
      </c>
      <c r="E23" t="s">
        <v>25</v>
      </c>
      <c r="F23">
        <v>3</v>
      </c>
      <c r="G23">
        <v>15.69</v>
      </c>
      <c r="H23" t="s">
        <v>12</v>
      </c>
      <c r="I23" s="1">
        <v>44943</v>
      </c>
      <c r="J23" t="s">
        <v>13</v>
      </c>
    </row>
    <row r="24" spans="1:10" x14ac:dyDescent="0.45">
      <c r="A24" t="s">
        <v>77</v>
      </c>
      <c r="B24" t="s">
        <v>78</v>
      </c>
      <c r="C24" t="s">
        <v>10</v>
      </c>
      <c r="D24">
        <v>48</v>
      </c>
      <c r="E24" t="s">
        <v>44</v>
      </c>
      <c r="F24">
        <v>4</v>
      </c>
      <c r="G24">
        <v>46.92</v>
      </c>
      <c r="H24" t="s">
        <v>18</v>
      </c>
      <c r="I24" s="1">
        <v>44928</v>
      </c>
      <c r="J24" t="s">
        <v>19</v>
      </c>
    </row>
    <row r="25" spans="1:10" x14ac:dyDescent="0.45">
      <c r="A25" t="s">
        <v>79</v>
      </c>
      <c r="B25" t="s">
        <v>80</v>
      </c>
      <c r="C25" t="s">
        <v>14</v>
      </c>
      <c r="D25">
        <v>27</v>
      </c>
      <c r="E25" t="s">
        <v>11</v>
      </c>
      <c r="F25">
        <v>1</v>
      </c>
      <c r="G25">
        <v>300.08</v>
      </c>
      <c r="H25" t="s">
        <v>18</v>
      </c>
      <c r="I25" s="1">
        <v>44936</v>
      </c>
      <c r="J25" t="s">
        <v>13</v>
      </c>
    </row>
    <row r="26" spans="1:10" x14ac:dyDescent="0.45">
      <c r="A26" t="s">
        <v>81</v>
      </c>
      <c r="B26" t="s">
        <v>82</v>
      </c>
      <c r="C26" t="s">
        <v>10</v>
      </c>
      <c r="D26">
        <v>53</v>
      </c>
      <c r="E26" t="s">
        <v>22</v>
      </c>
      <c r="F26">
        <v>2</v>
      </c>
      <c r="G26">
        <v>81.319999999999993</v>
      </c>
      <c r="H26" t="s">
        <v>18</v>
      </c>
      <c r="I26" s="1">
        <v>44976</v>
      </c>
      <c r="J26" t="s">
        <v>23</v>
      </c>
    </row>
    <row r="27" spans="1:10" x14ac:dyDescent="0.45">
      <c r="A27" t="s">
        <v>83</v>
      </c>
      <c r="B27" t="s">
        <v>84</v>
      </c>
      <c r="C27" t="s">
        <v>14</v>
      </c>
      <c r="D27">
        <v>39</v>
      </c>
      <c r="E27" t="s">
        <v>27</v>
      </c>
      <c r="F27">
        <v>3</v>
      </c>
      <c r="G27">
        <v>107.52</v>
      </c>
      <c r="H27" t="s">
        <v>12</v>
      </c>
      <c r="I27" s="1">
        <v>44952</v>
      </c>
      <c r="J27" t="s">
        <v>24</v>
      </c>
    </row>
    <row r="28" spans="1:10" x14ac:dyDescent="0.45">
      <c r="A28" t="s">
        <v>85</v>
      </c>
      <c r="B28" t="s">
        <v>86</v>
      </c>
      <c r="C28" t="s">
        <v>10</v>
      </c>
      <c r="D28">
        <v>35</v>
      </c>
      <c r="E28" t="s">
        <v>22</v>
      </c>
      <c r="F28">
        <v>5</v>
      </c>
      <c r="G28">
        <v>203.3</v>
      </c>
      <c r="H28" t="s">
        <v>16</v>
      </c>
      <c r="I28" s="1">
        <v>44951</v>
      </c>
      <c r="J28" t="s">
        <v>28</v>
      </c>
    </row>
    <row r="29" spans="1:10" x14ac:dyDescent="0.45">
      <c r="A29" t="s">
        <v>87</v>
      </c>
      <c r="B29" t="s">
        <v>88</v>
      </c>
      <c r="C29" t="s">
        <v>10</v>
      </c>
      <c r="D29">
        <v>54</v>
      </c>
      <c r="E29" t="s">
        <v>22</v>
      </c>
      <c r="F29">
        <v>4</v>
      </c>
      <c r="G29">
        <v>162.63999999999999</v>
      </c>
      <c r="H29" t="s">
        <v>12</v>
      </c>
      <c r="I29" s="1">
        <v>44980</v>
      </c>
      <c r="J29" t="s">
        <v>17</v>
      </c>
    </row>
    <row r="30" spans="1:10" x14ac:dyDescent="0.45">
      <c r="A30" t="s">
        <v>89</v>
      </c>
      <c r="B30" t="s">
        <v>90</v>
      </c>
      <c r="C30" t="s">
        <v>10</v>
      </c>
      <c r="D30">
        <v>50</v>
      </c>
      <c r="E30" t="s">
        <v>35</v>
      </c>
      <c r="F30">
        <v>1</v>
      </c>
      <c r="G30">
        <v>1050</v>
      </c>
      <c r="H30" t="s">
        <v>18</v>
      </c>
      <c r="I30" s="1">
        <v>44966</v>
      </c>
      <c r="J30" t="s">
        <v>30</v>
      </c>
    </row>
    <row r="31" spans="1:10" x14ac:dyDescent="0.45">
      <c r="A31" t="s">
        <v>91</v>
      </c>
      <c r="B31" t="s">
        <v>92</v>
      </c>
      <c r="C31" t="s">
        <v>10</v>
      </c>
      <c r="D31">
        <v>21</v>
      </c>
      <c r="E31" t="s">
        <v>22</v>
      </c>
      <c r="F31">
        <v>4</v>
      </c>
      <c r="G31">
        <v>162.63999999999999</v>
      </c>
      <c r="H31" t="s">
        <v>18</v>
      </c>
      <c r="I31" s="1">
        <v>44983</v>
      </c>
      <c r="J31" t="s">
        <v>23</v>
      </c>
    </row>
    <row r="32" spans="1:10" x14ac:dyDescent="0.45">
      <c r="A32" t="s">
        <v>93</v>
      </c>
      <c r="B32" t="s">
        <v>94</v>
      </c>
      <c r="C32" t="s">
        <v>14</v>
      </c>
      <c r="D32">
        <v>21</v>
      </c>
      <c r="E32" t="s">
        <v>15</v>
      </c>
      <c r="F32">
        <v>2</v>
      </c>
      <c r="G32">
        <v>1200.3399999999999</v>
      </c>
      <c r="H32" t="s">
        <v>18</v>
      </c>
      <c r="I32" s="1">
        <v>44974</v>
      </c>
      <c r="J32" t="s">
        <v>24</v>
      </c>
    </row>
    <row r="33" spans="1:10" x14ac:dyDescent="0.45">
      <c r="A33" t="s">
        <v>95</v>
      </c>
      <c r="B33" t="s">
        <v>96</v>
      </c>
      <c r="C33" t="s">
        <v>14</v>
      </c>
      <c r="D33">
        <v>30</v>
      </c>
      <c r="E33" t="s">
        <v>44</v>
      </c>
      <c r="F33">
        <v>2</v>
      </c>
      <c r="G33">
        <v>23.46</v>
      </c>
      <c r="H33" t="s">
        <v>12</v>
      </c>
      <c r="I33" s="1">
        <v>44993</v>
      </c>
      <c r="J33" t="s">
        <v>17</v>
      </c>
    </row>
    <row r="34" spans="1:10" x14ac:dyDescent="0.45">
      <c r="A34" t="s">
        <v>97</v>
      </c>
      <c r="B34" t="s">
        <v>98</v>
      </c>
      <c r="C34" t="s">
        <v>10</v>
      </c>
      <c r="D34">
        <v>45</v>
      </c>
      <c r="E34" t="s">
        <v>11</v>
      </c>
      <c r="F34">
        <v>3</v>
      </c>
      <c r="G34">
        <v>900.24</v>
      </c>
      <c r="H34" t="s">
        <v>16</v>
      </c>
      <c r="I34" s="1">
        <v>44993</v>
      </c>
      <c r="J34" t="s">
        <v>28</v>
      </c>
    </row>
    <row r="35" spans="1:10" x14ac:dyDescent="0.45">
      <c r="A35" t="s">
        <v>99</v>
      </c>
      <c r="B35" t="s">
        <v>100</v>
      </c>
      <c r="C35" t="s">
        <v>10</v>
      </c>
      <c r="D35">
        <v>54</v>
      </c>
      <c r="E35" t="s">
        <v>11</v>
      </c>
      <c r="F35">
        <v>1</v>
      </c>
      <c r="G35">
        <v>300.08</v>
      </c>
      <c r="H35" t="s">
        <v>12</v>
      </c>
      <c r="I35" s="1">
        <v>44960</v>
      </c>
      <c r="J35" t="s">
        <v>26</v>
      </c>
    </row>
    <row r="36" spans="1:10" x14ac:dyDescent="0.45">
      <c r="A36" t="s">
        <v>101</v>
      </c>
      <c r="B36" t="s">
        <v>102</v>
      </c>
      <c r="C36" t="s">
        <v>10</v>
      </c>
      <c r="D36">
        <v>63</v>
      </c>
      <c r="E36" t="s">
        <v>22</v>
      </c>
      <c r="F36">
        <v>5</v>
      </c>
      <c r="G36">
        <v>203.3</v>
      </c>
      <c r="H36" t="s">
        <v>12</v>
      </c>
      <c r="I36" s="1">
        <v>44970</v>
      </c>
      <c r="J36" t="s">
        <v>20</v>
      </c>
    </row>
    <row r="37" spans="1:10" x14ac:dyDescent="0.45">
      <c r="A37" t="s">
        <v>103</v>
      </c>
      <c r="B37" t="s">
        <v>104</v>
      </c>
      <c r="C37" t="s">
        <v>10</v>
      </c>
      <c r="D37">
        <v>53</v>
      </c>
      <c r="E37" t="s">
        <v>11</v>
      </c>
      <c r="F37">
        <v>5</v>
      </c>
      <c r="G37">
        <v>1500.4</v>
      </c>
      <c r="H37" t="s">
        <v>12</v>
      </c>
      <c r="I37" s="1">
        <v>44960</v>
      </c>
      <c r="J37" t="s">
        <v>26</v>
      </c>
    </row>
    <row r="38" spans="1:10" x14ac:dyDescent="0.45">
      <c r="A38" t="s">
        <v>105</v>
      </c>
      <c r="B38" t="s">
        <v>106</v>
      </c>
      <c r="C38" t="s">
        <v>10</v>
      </c>
      <c r="D38">
        <v>50</v>
      </c>
      <c r="E38" t="s">
        <v>22</v>
      </c>
      <c r="F38">
        <v>4</v>
      </c>
      <c r="G38">
        <v>162.63999999999999</v>
      </c>
      <c r="H38" t="s">
        <v>18</v>
      </c>
      <c r="I38" s="1">
        <v>44932</v>
      </c>
      <c r="J38" t="s">
        <v>24</v>
      </c>
    </row>
    <row r="39" spans="1:10" x14ac:dyDescent="0.45">
      <c r="A39" t="s">
        <v>107</v>
      </c>
      <c r="B39" t="s">
        <v>108</v>
      </c>
      <c r="C39" t="s">
        <v>10</v>
      </c>
      <c r="D39">
        <v>29</v>
      </c>
      <c r="E39" t="s">
        <v>35</v>
      </c>
      <c r="F39">
        <v>4</v>
      </c>
      <c r="G39">
        <v>4200</v>
      </c>
      <c r="H39" t="s">
        <v>16</v>
      </c>
      <c r="I39" s="1">
        <v>44959</v>
      </c>
      <c r="J39" t="s">
        <v>13</v>
      </c>
    </row>
    <row r="40" spans="1:10" x14ac:dyDescent="0.45">
      <c r="A40" t="s">
        <v>109</v>
      </c>
      <c r="B40" t="s">
        <v>110</v>
      </c>
      <c r="C40" t="s">
        <v>14</v>
      </c>
      <c r="D40">
        <v>29</v>
      </c>
      <c r="E40" t="s">
        <v>25</v>
      </c>
      <c r="F40">
        <v>2</v>
      </c>
      <c r="G40">
        <v>10.46</v>
      </c>
      <c r="H40" t="s">
        <v>18</v>
      </c>
      <c r="I40" s="1">
        <v>44935</v>
      </c>
      <c r="J40" t="s">
        <v>24</v>
      </c>
    </row>
    <row r="41" spans="1:10" x14ac:dyDescent="0.45">
      <c r="A41" t="s">
        <v>111</v>
      </c>
      <c r="B41" t="s">
        <v>112</v>
      </c>
      <c r="C41" t="s">
        <v>10</v>
      </c>
      <c r="D41">
        <v>66</v>
      </c>
      <c r="E41" t="s">
        <v>11</v>
      </c>
      <c r="F41">
        <v>1</v>
      </c>
      <c r="G41">
        <v>300.08</v>
      </c>
      <c r="H41" t="s">
        <v>18</v>
      </c>
      <c r="I41" s="1">
        <v>44933</v>
      </c>
      <c r="J41" t="s">
        <v>19</v>
      </c>
    </row>
    <row r="42" spans="1:10" x14ac:dyDescent="0.45">
      <c r="A42" t="s">
        <v>113</v>
      </c>
      <c r="B42" t="s">
        <v>114</v>
      </c>
      <c r="C42" t="s">
        <v>14</v>
      </c>
      <c r="D42">
        <v>56</v>
      </c>
      <c r="E42" t="s">
        <v>11</v>
      </c>
      <c r="F42">
        <v>1</v>
      </c>
      <c r="G42">
        <v>300.08</v>
      </c>
      <c r="H42" t="s">
        <v>18</v>
      </c>
      <c r="I42" s="1">
        <v>44944</v>
      </c>
      <c r="J42" t="s">
        <v>13</v>
      </c>
    </row>
    <row r="43" spans="1:10" x14ac:dyDescent="0.45">
      <c r="A43" t="s">
        <v>115</v>
      </c>
      <c r="B43" t="s">
        <v>116</v>
      </c>
      <c r="C43" t="s">
        <v>10</v>
      </c>
      <c r="D43">
        <v>54</v>
      </c>
      <c r="E43" t="s">
        <v>15</v>
      </c>
      <c r="F43">
        <v>4</v>
      </c>
      <c r="G43">
        <v>2400.6799999999998</v>
      </c>
      <c r="H43" t="s">
        <v>12</v>
      </c>
      <c r="I43" s="1">
        <v>44933</v>
      </c>
      <c r="J43" t="s">
        <v>19</v>
      </c>
    </row>
    <row r="44" spans="1:10" x14ac:dyDescent="0.45">
      <c r="A44" t="s">
        <v>117</v>
      </c>
      <c r="B44" t="s">
        <v>118</v>
      </c>
      <c r="C44" t="s">
        <v>10</v>
      </c>
      <c r="D44">
        <v>42</v>
      </c>
      <c r="E44" t="s">
        <v>27</v>
      </c>
      <c r="F44">
        <v>1</v>
      </c>
      <c r="G44">
        <v>35.840000000000003</v>
      </c>
      <c r="H44" t="s">
        <v>16</v>
      </c>
      <c r="I44" s="1">
        <v>44927</v>
      </c>
      <c r="J44" t="s">
        <v>23</v>
      </c>
    </row>
    <row r="45" spans="1:10" x14ac:dyDescent="0.45">
      <c r="A45" t="s">
        <v>119</v>
      </c>
      <c r="B45" t="s">
        <v>120</v>
      </c>
      <c r="C45" t="s">
        <v>10</v>
      </c>
      <c r="D45">
        <v>56</v>
      </c>
      <c r="E45" t="s">
        <v>22</v>
      </c>
      <c r="F45">
        <v>4</v>
      </c>
      <c r="G45">
        <v>162.63999999999999</v>
      </c>
      <c r="H45" t="s">
        <v>12</v>
      </c>
      <c r="I45" s="1">
        <v>44990</v>
      </c>
      <c r="J45" t="s">
        <v>13</v>
      </c>
    </row>
    <row r="46" spans="1:10" x14ac:dyDescent="0.45">
      <c r="A46" t="s">
        <v>121</v>
      </c>
      <c r="B46" t="s">
        <v>122</v>
      </c>
      <c r="C46" t="s">
        <v>10</v>
      </c>
      <c r="D46">
        <v>61</v>
      </c>
      <c r="E46" t="s">
        <v>15</v>
      </c>
      <c r="F46">
        <v>5</v>
      </c>
      <c r="G46">
        <v>3000.85</v>
      </c>
      <c r="H46" t="s">
        <v>16</v>
      </c>
      <c r="I46" s="1">
        <v>44928</v>
      </c>
      <c r="J46" t="s">
        <v>24</v>
      </c>
    </row>
    <row r="47" spans="1:10" x14ac:dyDescent="0.45">
      <c r="A47" t="s">
        <v>123</v>
      </c>
      <c r="B47" t="s">
        <v>124</v>
      </c>
      <c r="C47" t="s">
        <v>10</v>
      </c>
      <c r="D47">
        <v>43</v>
      </c>
      <c r="E47" t="s">
        <v>25</v>
      </c>
      <c r="F47">
        <v>2</v>
      </c>
      <c r="G47">
        <v>10.46</v>
      </c>
      <c r="H47" t="s">
        <v>12</v>
      </c>
      <c r="I47" s="1">
        <v>44947</v>
      </c>
      <c r="J47" t="s">
        <v>20</v>
      </c>
    </row>
    <row r="48" spans="1:10" x14ac:dyDescent="0.45">
      <c r="A48" t="s">
        <v>125</v>
      </c>
      <c r="B48" t="s">
        <v>126</v>
      </c>
      <c r="C48" t="s">
        <v>10</v>
      </c>
      <c r="D48">
        <v>36</v>
      </c>
      <c r="E48" t="s">
        <v>21</v>
      </c>
      <c r="F48">
        <v>3</v>
      </c>
      <c r="G48">
        <v>45.45</v>
      </c>
      <c r="H48" t="s">
        <v>12</v>
      </c>
      <c r="I48" s="1">
        <v>44959</v>
      </c>
      <c r="J48" t="s">
        <v>19</v>
      </c>
    </row>
    <row r="49" spans="1:10" x14ac:dyDescent="0.45">
      <c r="A49" t="s">
        <v>127</v>
      </c>
      <c r="B49" t="s">
        <v>128</v>
      </c>
      <c r="C49" t="s">
        <v>14</v>
      </c>
      <c r="D49">
        <v>22</v>
      </c>
      <c r="E49" t="s">
        <v>25</v>
      </c>
      <c r="F49">
        <v>3</v>
      </c>
      <c r="G49">
        <v>15.69</v>
      </c>
      <c r="H49" t="s">
        <v>18</v>
      </c>
      <c r="I49" s="1">
        <v>44976</v>
      </c>
      <c r="J49" t="s">
        <v>23</v>
      </c>
    </row>
    <row r="50" spans="1:10" x14ac:dyDescent="0.45">
      <c r="A50" t="s">
        <v>129</v>
      </c>
      <c r="B50" t="s">
        <v>130</v>
      </c>
      <c r="C50" t="s">
        <v>14</v>
      </c>
      <c r="D50">
        <v>34</v>
      </c>
      <c r="E50" t="s">
        <v>11</v>
      </c>
      <c r="F50">
        <v>2</v>
      </c>
      <c r="G50">
        <v>600.16</v>
      </c>
      <c r="H50" t="s">
        <v>12</v>
      </c>
      <c r="I50" s="1">
        <v>44976</v>
      </c>
      <c r="J50" t="s">
        <v>26</v>
      </c>
    </row>
    <row r="51" spans="1:10" x14ac:dyDescent="0.45">
      <c r="A51" t="s">
        <v>131</v>
      </c>
      <c r="B51" t="s">
        <v>132</v>
      </c>
      <c r="C51" t="s">
        <v>10</v>
      </c>
      <c r="D51">
        <v>49</v>
      </c>
      <c r="E51" t="s">
        <v>11</v>
      </c>
      <c r="F51">
        <v>1</v>
      </c>
      <c r="G51">
        <v>300.08</v>
      </c>
      <c r="H51" t="s">
        <v>12</v>
      </c>
      <c r="I51" s="1">
        <v>44987</v>
      </c>
      <c r="J51" t="s">
        <v>13</v>
      </c>
    </row>
    <row r="52" spans="1:10" x14ac:dyDescent="0.45">
      <c r="A52" t="s">
        <v>133</v>
      </c>
      <c r="B52" t="s">
        <v>134</v>
      </c>
      <c r="C52" t="s">
        <v>14</v>
      </c>
      <c r="D52">
        <v>47</v>
      </c>
      <c r="E52" t="s">
        <v>11</v>
      </c>
      <c r="F52">
        <v>1</v>
      </c>
      <c r="G52">
        <v>300.08</v>
      </c>
      <c r="H52" t="s">
        <v>12</v>
      </c>
      <c r="I52" s="1">
        <v>44937</v>
      </c>
      <c r="J52" t="s">
        <v>23</v>
      </c>
    </row>
    <row r="53" spans="1:10" x14ac:dyDescent="0.45">
      <c r="A53" t="s">
        <v>135</v>
      </c>
      <c r="B53" t="s">
        <v>136</v>
      </c>
      <c r="C53" t="s">
        <v>10</v>
      </c>
      <c r="D53">
        <v>65</v>
      </c>
      <c r="E53" t="s">
        <v>25</v>
      </c>
      <c r="F53">
        <v>3</v>
      </c>
      <c r="G53">
        <v>15.69</v>
      </c>
      <c r="H53" t="s">
        <v>12</v>
      </c>
      <c r="I53" s="1">
        <v>44967</v>
      </c>
      <c r="J53" t="s">
        <v>23</v>
      </c>
    </row>
    <row r="54" spans="1:10" x14ac:dyDescent="0.45">
      <c r="A54" t="s">
        <v>137</v>
      </c>
      <c r="B54" t="s">
        <v>138</v>
      </c>
      <c r="C54" t="s">
        <v>14</v>
      </c>
      <c r="D54">
        <v>21</v>
      </c>
      <c r="E54" t="s">
        <v>35</v>
      </c>
      <c r="F54">
        <v>4</v>
      </c>
      <c r="G54">
        <v>4200</v>
      </c>
      <c r="H54" t="s">
        <v>12</v>
      </c>
      <c r="I54" s="1">
        <v>44956</v>
      </c>
      <c r="J54" t="s">
        <v>19</v>
      </c>
    </row>
    <row r="55" spans="1:10" x14ac:dyDescent="0.45">
      <c r="A55" t="s">
        <v>139</v>
      </c>
      <c r="B55" t="s">
        <v>140</v>
      </c>
      <c r="C55" t="s">
        <v>10</v>
      </c>
      <c r="D55">
        <v>35</v>
      </c>
      <c r="E55" t="s">
        <v>44</v>
      </c>
      <c r="F55">
        <v>5</v>
      </c>
      <c r="G55">
        <v>58.65</v>
      </c>
      <c r="H55" t="s">
        <v>18</v>
      </c>
      <c r="I55" s="1">
        <v>44983</v>
      </c>
      <c r="J55" t="s">
        <v>20</v>
      </c>
    </row>
    <row r="56" spans="1:10" x14ac:dyDescent="0.45">
      <c r="A56" t="s">
        <v>141</v>
      </c>
      <c r="B56" t="s">
        <v>142</v>
      </c>
      <c r="C56" t="s">
        <v>14</v>
      </c>
      <c r="D56">
        <v>32</v>
      </c>
      <c r="E56" t="s">
        <v>22</v>
      </c>
      <c r="F56">
        <v>1</v>
      </c>
      <c r="G56">
        <v>40.659999999999997</v>
      </c>
      <c r="H56" t="s">
        <v>18</v>
      </c>
      <c r="I56" s="1">
        <v>44958</v>
      </c>
      <c r="J56" t="s">
        <v>23</v>
      </c>
    </row>
    <row r="57" spans="1:10" x14ac:dyDescent="0.45">
      <c r="A57" t="s">
        <v>143</v>
      </c>
      <c r="B57" t="s">
        <v>144</v>
      </c>
      <c r="C57" t="s">
        <v>14</v>
      </c>
      <c r="D57">
        <v>38</v>
      </c>
      <c r="E57" t="s">
        <v>11</v>
      </c>
      <c r="F57">
        <v>4</v>
      </c>
      <c r="G57">
        <v>1200.32</v>
      </c>
      <c r="H57" t="s">
        <v>18</v>
      </c>
      <c r="I57" s="1">
        <v>44944</v>
      </c>
      <c r="J57" t="s">
        <v>23</v>
      </c>
    </row>
    <row r="58" spans="1:10" x14ac:dyDescent="0.45">
      <c r="A58" t="s">
        <v>145</v>
      </c>
      <c r="B58" t="s">
        <v>146</v>
      </c>
      <c r="C58" t="s">
        <v>10</v>
      </c>
      <c r="D58">
        <v>32</v>
      </c>
      <c r="E58" t="s">
        <v>11</v>
      </c>
      <c r="F58">
        <v>4</v>
      </c>
      <c r="G58">
        <v>1200.32</v>
      </c>
      <c r="H58" t="s">
        <v>18</v>
      </c>
      <c r="I58" s="1">
        <v>44968</v>
      </c>
      <c r="J58" t="s">
        <v>28</v>
      </c>
    </row>
    <row r="59" spans="1:10" x14ac:dyDescent="0.45">
      <c r="A59" t="s">
        <v>147</v>
      </c>
      <c r="B59" t="s">
        <v>148</v>
      </c>
      <c r="C59" t="s">
        <v>14</v>
      </c>
      <c r="D59">
        <v>48</v>
      </c>
      <c r="E59" t="s">
        <v>35</v>
      </c>
      <c r="F59">
        <v>5</v>
      </c>
      <c r="G59">
        <v>5250</v>
      </c>
      <c r="H59" t="s">
        <v>18</v>
      </c>
      <c r="I59" s="1">
        <v>44983</v>
      </c>
      <c r="J59" t="s">
        <v>30</v>
      </c>
    </row>
    <row r="60" spans="1:10" x14ac:dyDescent="0.45">
      <c r="A60" t="s">
        <v>149</v>
      </c>
      <c r="B60" t="s">
        <v>150</v>
      </c>
      <c r="C60" t="s">
        <v>10</v>
      </c>
      <c r="D60">
        <v>29</v>
      </c>
      <c r="E60" t="s">
        <v>11</v>
      </c>
      <c r="F60">
        <v>4</v>
      </c>
      <c r="G60">
        <v>1200.32</v>
      </c>
      <c r="H60" t="s">
        <v>18</v>
      </c>
      <c r="I60" s="1">
        <v>44963</v>
      </c>
      <c r="J60" t="s">
        <v>19</v>
      </c>
    </row>
    <row r="61" spans="1:10" x14ac:dyDescent="0.45">
      <c r="A61" t="s">
        <v>151</v>
      </c>
      <c r="B61" t="s">
        <v>152</v>
      </c>
      <c r="C61" t="s">
        <v>10</v>
      </c>
      <c r="D61">
        <v>62</v>
      </c>
      <c r="E61" t="s">
        <v>22</v>
      </c>
      <c r="F61">
        <v>5</v>
      </c>
      <c r="G61">
        <v>203.3</v>
      </c>
      <c r="H61" t="s">
        <v>12</v>
      </c>
      <c r="I61" s="1">
        <v>44958</v>
      </c>
      <c r="J61" t="s">
        <v>17</v>
      </c>
    </row>
    <row r="62" spans="1:10" x14ac:dyDescent="0.45">
      <c r="A62" t="s">
        <v>153</v>
      </c>
      <c r="B62" t="s">
        <v>154</v>
      </c>
      <c r="C62" t="s">
        <v>10</v>
      </c>
      <c r="D62">
        <v>52</v>
      </c>
      <c r="E62" t="s">
        <v>25</v>
      </c>
      <c r="F62">
        <v>5</v>
      </c>
      <c r="G62">
        <v>26.15</v>
      </c>
      <c r="H62" t="s">
        <v>12</v>
      </c>
      <c r="I62" s="1">
        <v>44951</v>
      </c>
      <c r="J62" t="s">
        <v>19</v>
      </c>
    </row>
    <row r="63" spans="1:10" x14ac:dyDescent="0.45">
      <c r="A63" t="s">
        <v>155</v>
      </c>
      <c r="B63" t="s">
        <v>156</v>
      </c>
      <c r="C63" t="s">
        <v>10</v>
      </c>
      <c r="D63">
        <v>19</v>
      </c>
      <c r="E63" t="s">
        <v>11</v>
      </c>
      <c r="F63">
        <v>3</v>
      </c>
      <c r="G63">
        <v>900.24</v>
      </c>
      <c r="H63" t="s">
        <v>12</v>
      </c>
      <c r="I63" s="1">
        <v>44949</v>
      </c>
      <c r="J63" t="s">
        <v>13</v>
      </c>
    </row>
    <row r="64" spans="1:10" x14ac:dyDescent="0.45">
      <c r="A64" t="s">
        <v>157</v>
      </c>
      <c r="B64" t="s">
        <v>158</v>
      </c>
      <c r="C64" t="s">
        <v>10</v>
      </c>
      <c r="D64">
        <v>51</v>
      </c>
      <c r="E64" t="s">
        <v>15</v>
      </c>
      <c r="F64">
        <v>3</v>
      </c>
      <c r="G64">
        <v>1800.51</v>
      </c>
      <c r="H64" t="s">
        <v>16</v>
      </c>
      <c r="I64" s="1">
        <v>44981</v>
      </c>
      <c r="J64" t="s">
        <v>13</v>
      </c>
    </row>
    <row r="65" spans="1:10" x14ac:dyDescent="0.45">
      <c r="A65" t="s">
        <v>159</v>
      </c>
      <c r="B65" t="s">
        <v>160</v>
      </c>
      <c r="C65" t="s">
        <v>14</v>
      </c>
      <c r="D65">
        <v>58</v>
      </c>
      <c r="E65" t="s">
        <v>25</v>
      </c>
      <c r="F65">
        <v>1</v>
      </c>
      <c r="G65">
        <v>5.23</v>
      </c>
      <c r="H65" t="s">
        <v>16</v>
      </c>
      <c r="I65" s="1">
        <v>44955</v>
      </c>
      <c r="J65" t="s">
        <v>13</v>
      </c>
    </row>
    <row r="66" spans="1:10" x14ac:dyDescent="0.45">
      <c r="A66" t="s">
        <v>161</v>
      </c>
      <c r="B66" t="s">
        <v>162</v>
      </c>
      <c r="C66" t="s">
        <v>10</v>
      </c>
      <c r="D66">
        <v>54</v>
      </c>
      <c r="E66" t="s">
        <v>11</v>
      </c>
      <c r="F66">
        <v>1</v>
      </c>
      <c r="G66">
        <v>300.08</v>
      </c>
      <c r="H66" t="s">
        <v>12</v>
      </c>
      <c r="I66" s="1">
        <v>44965</v>
      </c>
      <c r="J66" t="s">
        <v>19</v>
      </c>
    </row>
    <row r="67" spans="1:10" x14ac:dyDescent="0.45">
      <c r="A67" t="s">
        <v>163</v>
      </c>
      <c r="B67" t="s">
        <v>164</v>
      </c>
      <c r="C67" t="s">
        <v>10</v>
      </c>
      <c r="D67">
        <v>42</v>
      </c>
      <c r="E67" t="s">
        <v>15</v>
      </c>
      <c r="F67">
        <v>3</v>
      </c>
      <c r="G67">
        <v>1800.51</v>
      </c>
      <c r="H67" t="s">
        <v>18</v>
      </c>
      <c r="I67" s="1">
        <v>44955</v>
      </c>
      <c r="J67" t="s">
        <v>19</v>
      </c>
    </row>
    <row r="68" spans="1:10" x14ac:dyDescent="0.45">
      <c r="A68" t="s">
        <v>165</v>
      </c>
      <c r="B68" t="s">
        <v>166</v>
      </c>
      <c r="C68" t="s">
        <v>10</v>
      </c>
      <c r="D68">
        <v>34</v>
      </c>
      <c r="E68" t="s">
        <v>15</v>
      </c>
      <c r="F68">
        <v>1</v>
      </c>
      <c r="G68">
        <v>600.16999999999996</v>
      </c>
      <c r="H68" t="s">
        <v>16</v>
      </c>
      <c r="I68" s="1">
        <v>44930</v>
      </c>
      <c r="J68" t="s">
        <v>20</v>
      </c>
    </row>
    <row r="69" spans="1:10" x14ac:dyDescent="0.45">
      <c r="A69" t="s">
        <v>167</v>
      </c>
      <c r="B69" t="s">
        <v>168</v>
      </c>
      <c r="C69" t="s">
        <v>14</v>
      </c>
      <c r="D69">
        <v>60</v>
      </c>
      <c r="E69" t="s">
        <v>21</v>
      </c>
      <c r="F69">
        <v>5</v>
      </c>
      <c r="G69">
        <v>75.75</v>
      </c>
      <c r="H69" t="s">
        <v>12</v>
      </c>
      <c r="I69" s="1">
        <v>44943</v>
      </c>
      <c r="J69" t="s">
        <v>24</v>
      </c>
    </row>
    <row r="70" spans="1:10" x14ac:dyDescent="0.45">
      <c r="A70" t="s">
        <v>169</v>
      </c>
      <c r="B70" t="s">
        <v>170</v>
      </c>
      <c r="C70" t="s">
        <v>10</v>
      </c>
      <c r="D70">
        <v>52</v>
      </c>
      <c r="E70" t="s">
        <v>27</v>
      </c>
      <c r="F70">
        <v>3</v>
      </c>
      <c r="G70">
        <v>107.52</v>
      </c>
      <c r="H70" t="s">
        <v>18</v>
      </c>
      <c r="I70" s="1">
        <v>44985</v>
      </c>
      <c r="J70" t="s">
        <v>17</v>
      </c>
    </row>
    <row r="71" spans="1:10" x14ac:dyDescent="0.45">
      <c r="A71" t="s">
        <v>171</v>
      </c>
      <c r="B71" t="s">
        <v>172</v>
      </c>
      <c r="C71" t="s">
        <v>14</v>
      </c>
      <c r="D71">
        <v>30</v>
      </c>
      <c r="E71" t="s">
        <v>11</v>
      </c>
      <c r="F71">
        <v>1</v>
      </c>
      <c r="G71">
        <v>300.08</v>
      </c>
      <c r="H71" t="s">
        <v>16</v>
      </c>
      <c r="I71" s="1">
        <v>44965</v>
      </c>
      <c r="J71" t="s">
        <v>23</v>
      </c>
    </row>
    <row r="72" spans="1:10" x14ac:dyDescent="0.45">
      <c r="A72" t="s">
        <v>173</v>
      </c>
      <c r="B72" t="s">
        <v>174</v>
      </c>
      <c r="C72" t="s">
        <v>10</v>
      </c>
      <c r="D72">
        <v>47</v>
      </c>
      <c r="E72" t="s">
        <v>22</v>
      </c>
      <c r="F72">
        <v>4</v>
      </c>
      <c r="G72">
        <v>162.63999999999999</v>
      </c>
      <c r="H72" t="s">
        <v>12</v>
      </c>
      <c r="I72" s="1">
        <v>44990</v>
      </c>
      <c r="J72" t="s">
        <v>13</v>
      </c>
    </row>
    <row r="73" spans="1:10" x14ac:dyDescent="0.45">
      <c r="A73" t="s">
        <v>175</v>
      </c>
      <c r="B73" t="s">
        <v>176</v>
      </c>
      <c r="C73" t="s">
        <v>10</v>
      </c>
      <c r="D73">
        <v>20</v>
      </c>
      <c r="E73" t="s">
        <v>22</v>
      </c>
      <c r="F73">
        <v>2</v>
      </c>
      <c r="G73">
        <v>81.319999999999993</v>
      </c>
      <c r="H73" t="s">
        <v>16</v>
      </c>
      <c r="I73" s="1">
        <v>44961</v>
      </c>
      <c r="J73" t="s">
        <v>13</v>
      </c>
    </row>
    <row r="74" spans="1:10" x14ac:dyDescent="0.45">
      <c r="A74" t="s">
        <v>177</v>
      </c>
      <c r="B74" t="s">
        <v>178</v>
      </c>
      <c r="C74" t="s">
        <v>10</v>
      </c>
      <c r="D74">
        <v>52</v>
      </c>
      <c r="E74" t="s">
        <v>25</v>
      </c>
      <c r="F74">
        <v>4</v>
      </c>
      <c r="G74">
        <v>20.92</v>
      </c>
      <c r="H74" t="s">
        <v>18</v>
      </c>
      <c r="I74" s="1">
        <v>44983</v>
      </c>
      <c r="J74" t="s">
        <v>20</v>
      </c>
    </row>
    <row r="75" spans="1:10" x14ac:dyDescent="0.45">
      <c r="A75" t="s">
        <v>179</v>
      </c>
      <c r="B75" t="s">
        <v>180</v>
      </c>
      <c r="C75" t="s">
        <v>14</v>
      </c>
      <c r="D75">
        <v>67</v>
      </c>
      <c r="E75" t="s">
        <v>21</v>
      </c>
      <c r="F75">
        <v>5</v>
      </c>
      <c r="G75">
        <v>75.75</v>
      </c>
      <c r="H75" t="s">
        <v>18</v>
      </c>
      <c r="I75" s="1">
        <v>44938</v>
      </c>
      <c r="J75" t="s">
        <v>13</v>
      </c>
    </row>
    <row r="76" spans="1:10" x14ac:dyDescent="0.45">
      <c r="A76" t="s">
        <v>181</v>
      </c>
      <c r="B76" t="s">
        <v>182</v>
      </c>
      <c r="C76" t="s">
        <v>14</v>
      </c>
      <c r="D76">
        <v>54</v>
      </c>
      <c r="E76" t="s">
        <v>15</v>
      </c>
      <c r="F76">
        <v>3</v>
      </c>
      <c r="G76">
        <v>1800.51</v>
      </c>
      <c r="H76" t="s">
        <v>16</v>
      </c>
      <c r="I76" s="1">
        <v>44982</v>
      </c>
      <c r="J76" t="s">
        <v>20</v>
      </c>
    </row>
    <row r="77" spans="1:10" x14ac:dyDescent="0.45">
      <c r="A77" t="s">
        <v>183</v>
      </c>
      <c r="B77" t="s">
        <v>184</v>
      </c>
      <c r="C77" t="s">
        <v>14</v>
      </c>
      <c r="D77">
        <v>37</v>
      </c>
      <c r="E77" t="s">
        <v>11</v>
      </c>
      <c r="F77">
        <v>3</v>
      </c>
      <c r="G77">
        <v>900.24</v>
      </c>
      <c r="H77" t="s">
        <v>12</v>
      </c>
      <c r="I77" s="1">
        <v>44942</v>
      </c>
      <c r="J77" t="s">
        <v>13</v>
      </c>
    </row>
    <row r="78" spans="1:10" x14ac:dyDescent="0.45">
      <c r="A78" t="s">
        <v>185</v>
      </c>
      <c r="B78" t="s">
        <v>186</v>
      </c>
      <c r="C78" t="s">
        <v>10</v>
      </c>
      <c r="D78">
        <v>53</v>
      </c>
      <c r="E78" t="s">
        <v>15</v>
      </c>
      <c r="F78">
        <v>4</v>
      </c>
      <c r="G78">
        <v>2400.6799999999998</v>
      </c>
      <c r="H78" t="s">
        <v>18</v>
      </c>
      <c r="I78" s="1">
        <v>44936</v>
      </c>
      <c r="J78" t="s">
        <v>20</v>
      </c>
    </row>
    <row r="79" spans="1:10" x14ac:dyDescent="0.45">
      <c r="A79" t="s">
        <v>187</v>
      </c>
      <c r="B79" t="s">
        <v>188</v>
      </c>
      <c r="C79" t="s">
        <v>10</v>
      </c>
      <c r="D79">
        <v>62</v>
      </c>
      <c r="E79" t="s">
        <v>22</v>
      </c>
      <c r="F79">
        <v>2</v>
      </c>
      <c r="G79">
        <v>81.319999999999993</v>
      </c>
      <c r="H79" t="s">
        <v>12</v>
      </c>
      <c r="I79" s="1">
        <v>44978</v>
      </c>
      <c r="J79" t="s">
        <v>23</v>
      </c>
    </row>
    <row r="80" spans="1:10" x14ac:dyDescent="0.45">
      <c r="A80" t="s">
        <v>189</v>
      </c>
      <c r="B80" t="s">
        <v>190</v>
      </c>
      <c r="C80" t="s">
        <v>10</v>
      </c>
      <c r="D80">
        <v>55</v>
      </c>
      <c r="E80" t="s">
        <v>22</v>
      </c>
      <c r="F80">
        <v>1</v>
      </c>
      <c r="G80">
        <v>40.659999999999997</v>
      </c>
      <c r="H80" t="s">
        <v>12</v>
      </c>
      <c r="I80" s="1">
        <v>44941</v>
      </c>
      <c r="J80" t="s">
        <v>24</v>
      </c>
    </row>
    <row r="81" spans="1:10" x14ac:dyDescent="0.45">
      <c r="A81" t="s">
        <v>191</v>
      </c>
      <c r="B81" t="s">
        <v>192</v>
      </c>
      <c r="C81" t="s">
        <v>10</v>
      </c>
      <c r="D81">
        <v>24</v>
      </c>
      <c r="E81" t="s">
        <v>22</v>
      </c>
      <c r="F81">
        <v>1</v>
      </c>
      <c r="G81">
        <v>40.659999999999997</v>
      </c>
      <c r="H81" t="s">
        <v>16</v>
      </c>
      <c r="I81" s="1">
        <v>44981</v>
      </c>
      <c r="J81" t="s">
        <v>26</v>
      </c>
    </row>
    <row r="82" spans="1:10" x14ac:dyDescent="0.45">
      <c r="A82" t="s">
        <v>193</v>
      </c>
      <c r="B82" t="s">
        <v>194</v>
      </c>
      <c r="C82" t="s">
        <v>14</v>
      </c>
      <c r="D82">
        <v>31</v>
      </c>
      <c r="E82" t="s">
        <v>25</v>
      </c>
      <c r="F82">
        <v>1</v>
      </c>
      <c r="G82">
        <v>5.23</v>
      </c>
      <c r="H82" t="s">
        <v>18</v>
      </c>
      <c r="I82" s="1">
        <v>44966</v>
      </c>
      <c r="J82" t="s">
        <v>17</v>
      </c>
    </row>
    <row r="83" spans="1:10" x14ac:dyDescent="0.45">
      <c r="A83" t="s">
        <v>195</v>
      </c>
      <c r="B83" t="s">
        <v>196</v>
      </c>
      <c r="C83" t="s">
        <v>10</v>
      </c>
      <c r="D83">
        <v>45</v>
      </c>
      <c r="E83" t="s">
        <v>22</v>
      </c>
      <c r="F83">
        <v>3</v>
      </c>
      <c r="G83">
        <v>121.98</v>
      </c>
      <c r="H83" t="s">
        <v>12</v>
      </c>
      <c r="I83" s="1">
        <v>44953</v>
      </c>
      <c r="J83" t="s">
        <v>23</v>
      </c>
    </row>
    <row r="84" spans="1:10" x14ac:dyDescent="0.45">
      <c r="A84" t="s">
        <v>197</v>
      </c>
      <c r="B84" t="s">
        <v>198</v>
      </c>
      <c r="C84" t="s">
        <v>10</v>
      </c>
      <c r="D84">
        <v>63</v>
      </c>
      <c r="E84" t="s">
        <v>11</v>
      </c>
      <c r="F84">
        <v>2</v>
      </c>
      <c r="G84">
        <v>600.16</v>
      </c>
      <c r="H84" t="s">
        <v>12</v>
      </c>
      <c r="I84" s="1">
        <v>44970</v>
      </c>
      <c r="J84" t="s">
        <v>19</v>
      </c>
    </row>
    <row r="85" spans="1:10" x14ac:dyDescent="0.45">
      <c r="A85" t="s">
        <v>199</v>
      </c>
      <c r="B85" t="s">
        <v>200</v>
      </c>
      <c r="C85" t="s">
        <v>10</v>
      </c>
      <c r="D85">
        <v>59</v>
      </c>
      <c r="E85" t="s">
        <v>25</v>
      </c>
      <c r="F85">
        <v>2</v>
      </c>
      <c r="G85">
        <v>10.46</v>
      </c>
      <c r="H85" t="s">
        <v>16</v>
      </c>
      <c r="I85" s="1">
        <v>44974</v>
      </c>
      <c r="J85" t="s">
        <v>13</v>
      </c>
    </row>
    <row r="86" spans="1:10" x14ac:dyDescent="0.45">
      <c r="A86" t="s">
        <v>201</v>
      </c>
      <c r="B86" t="s">
        <v>202</v>
      </c>
      <c r="C86" t="s">
        <v>14</v>
      </c>
      <c r="D86">
        <v>51</v>
      </c>
      <c r="E86" t="s">
        <v>22</v>
      </c>
      <c r="F86">
        <v>3</v>
      </c>
      <c r="G86">
        <v>121.98</v>
      </c>
      <c r="H86" t="s">
        <v>16</v>
      </c>
      <c r="I86" s="1">
        <v>44970</v>
      </c>
      <c r="J86" t="s">
        <v>24</v>
      </c>
    </row>
    <row r="87" spans="1:10" x14ac:dyDescent="0.45">
      <c r="A87" t="s">
        <v>203</v>
      </c>
      <c r="B87" t="s">
        <v>204</v>
      </c>
      <c r="C87" t="s">
        <v>14</v>
      </c>
      <c r="D87">
        <v>44</v>
      </c>
      <c r="E87" t="s">
        <v>22</v>
      </c>
      <c r="F87">
        <v>3</v>
      </c>
      <c r="G87">
        <v>121.98</v>
      </c>
      <c r="H87" t="s">
        <v>12</v>
      </c>
      <c r="I87" s="1">
        <v>44989</v>
      </c>
      <c r="J87" t="s">
        <v>28</v>
      </c>
    </row>
    <row r="88" spans="1:10" x14ac:dyDescent="0.45">
      <c r="A88" t="s">
        <v>205</v>
      </c>
      <c r="B88" t="s">
        <v>206</v>
      </c>
      <c r="C88" t="s">
        <v>14</v>
      </c>
      <c r="D88">
        <v>40</v>
      </c>
      <c r="E88" t="s">
        <v>11</v>
      </c>
      <c r="F88">
        <v>3</v>
      </c>
      <c r="G88">
        <v>900.24</v>
      </c>
      <c r="H88" t="s">
        <v>16</v>
      </c>
      <c r="I88" s="1">
        <v>44935</v>
      </c>
      <c r="J88" t="s">
        <v>26</v>
      </c>
    </row>
    <row r="89" spans="1:10" x14ac:dyDescent="0.45">
      <c r="A89" t="s">
        <v>207</v>
      </c>
      <c r="B89" t="s">
        <v>208</v>
      </c>
      <c r="C89" t="s">
        <v>14</v>
      </c>
      <c r="D89">
        <v>32</v>
      </c>
      <c r="E89" t="s">
        <v>22</v>
      </c>
      <c r="F89">
        <v>1</v>
      </c>
      <c r="G89">
        <v>40.659999999999997</v>
      </c>
      <c r="H89" t="s">
        <v>18</v>
      </c>
      <c r="I89" s="1">
        <v>44992</v>
      </c>
      <c r="J89" t="s">
        <v>19</v>
      </c>
    </row>
    <row r="90" spans="1:10" x14ac:dyDescent="0.45">
      <c r="A90" t="s">
        <v>209</v>
      </c>
      <c r="B90" t="s">
        <v>210</v>
      </c>
      <c r="C90" t="s">
        <v>10</v>
      </c>
      <c r="D90">
        <v>61</v>
      </c>
      <c r="E90" t="s">
        <v>22</v>
      </c>
      <c r="F90">
        <v>1</v>
      </c>
      <c r="G90">
        <v>40.659999999999997</v>
      </c>
      <c r="H90" t="s">
        <v>18</v>
      </c>
      <c r="I90" s="1">
        <v>44945</v>
      </c>
      <c r="J90" t="s">
        <v>17</v>
      </c>
    </row>
    <row r="91" spans="1:10" x14ac:dyDescent="0.45">
      <c r="A91" t="s">
        <v>211</v>
      </c>
      <c r="B91" t="s">
        <v>212</v>
      </c>
      <c r="C91" t="s">
        <v>14</v>
      </c>
      <c r="D91">
        <v>63</v>
      </c>
      <c r="E91" t="s">
        <v>11</v>
      </c>
      <c r="F91">
        <v>4</v>
      </c>
      <c r="G91">
        <v>1200.32</v>
      </c>
      <c r="H91" t="s">
        <v>18</v>
      </c>
      <c r="I91" s="1">
        <v>44987</v>
      </c>
      <c r="J91" t="s">
        <v>30</v>
      </c>
    </row>
    <row r="92" spans="1:10" x14ac:dyDescent="0.45">
      <c r="A92" t="s">
        <v>213</v>
      </c>
      <c r="B92" t="s">
        <v>214</v>
      </c>
      <c r="C92" t="s">
        <v>10</v>
      </c>
      <c r="D92">
        <v>50</v>
      </c>
      <c r="E92" t="s">
        <v>15</v>
      </c>
      <c r="F92">
        <v>4</v>
      </c>
      <c r="G92">
        <v>2400.6799999999998</v>
      </c>
      <c r="H92" t="s">
        <v>12</v>
      </c>
      <c r="I92" s="1">
        <v>44945</v>
      </c>
      <c r="J92" t="s">
        <v>19</v>
      </c>
    </row>
    <row r="93" spans="1:10" x14ac:dyDescent="0.45">
      <c r="A93" t="s">
        <v>215</v>
      </c>
      <c r="B93" t="s">
        <v>216</v>
      </c>
      <c r="C93" t="s">
        <v>10</v>
      </c>
      <c r="D93">
        <v>60</v>
      </c>
      <c r="E93" t="s">
        <v>11</v>
      </c>
      <c r="F93">
        <v>4</v>
      </c>
      <c r="G93">
        <v>1200.32</v>
      </c>
      <c r="H93" t="s">
        <v>16</v>
      </c>
      <c r="I93" s="1">
        <v>44961</v>
      </c>
      <c r="J93" t="s">
        <v>19</v>
      </c>
    </row>
    <row r="94" spans="1:10" x14ac:dyDescent="0.45">
      <c r="A94" t="s">
        <v>217</v>
      </c>
      <c r="B94" t="s">
        <v>218</v>
      </c>
      <c r="C94" t="s">
        <v>14</v>
      </c>
      <c r="D94">
        <v>64</v>
      </c>
      <c r="E94" t="s">
        <v>11</v>
      </c>
      <c r="F94">
        <v>4</v>
      </c>
      <c r="G94">
        <v>1200.32</v>
      </c>
      <c r="H94" t="s">
        <v>18</v>
      </c>
      <c r="I94" s="1">
        <v>44992</v>
      </c>
      <c r="J94" t="s">
        <v>19</v>
      </c>
    </row>
    <row r="95" spans="1:10" x14ac:dyDescent="0.45">
      <c r="A95" t="s">
        <v>219</v>
      </c>
      <c r="B95" t="s">
        <v>220</v>
      </c>
      <c r="C95" t="s">
        <v>10</v>
      </c>
      <c r="D95">
        <v>36</v>
      </c>
      <c r="E95" t="s">
        <v>22</v>
      </c>
      <c r="F95">
        <v>1</v>
      </c>
      <c r="G95">
        <v>40.659999999999997</v>
      </c>
      <c r="H95" t="s">
        <v>16</v>
      </c>
      <c r="I95" s="1">
        <v>44969</v>
      </c>
      <c r="J95" t="s">
        <v>26</v>
      </c>
    </row>
    <row r="96" spans="1:10" x14ac:dyDescent="0.45">
      <c r="A96" t="s">
        <v>221</v>
      </c>
      <c r="B96" t="s">
        <v>222</v>
      </c>
      <c r="C96" t="s">
        <v>14</v>
      </c>
      <c r="D96">
        <v>64</v>
      </c>
      <c r="E96" t="s">
        <v>22</v>
      </c>
      <c r="F96">
        <v>5</v>
      </c>
      <c r="G96">
        <v>203.3</v>
      </c>
      <c r="H96" t="s">
        <v>18</v>
      </c>
      <c r="I96" s="1">
        <v>44963</v>
      </c>
      <c r="J96" t="s">
        <v>24</v>
      </c>
    </row>
    <row r="97" spans="1:10" x14ac:dyDescent="0.45">
      <c r="A97" t="s">
        <v>223</v>
      </c>
      <c r="B97" t="s">
        <v>224</v>
      </c>
      <c r="C97" t="s">
        <v>14</v>
      </c>
      <c r="D97">
        <v>49</v>
      </c>
      <c r="E97" t="s">
        <v>11</v>
      </c>
      <c r="F97">
        <v>2</v>
      </c>
      <c r="G97">
        <v>600.16</v>
      </c>
      <c r="H97" t="s">
        <v>18</v>
      </c>
      <c r="I97" s="1">
        <v>44967</v>
      </c>
      <c r="J97" t="s">
        <v>13</v>
      </c>
    </row>
    <row r="98" spans="1:10" x14ac:dyDescent="0.45">
      <c r="A98" t="s">
        <v>225</v>
      </c>
      <c r="B98" t="s">
        <v>226</v>
      </c>
      <c r="C98" t="s">
        <v>10</v>
      </c>
      <c r="D98">
        <v>38</v>
      </c>
      <c r="E98" t="s">
        <v>11</v>
      </c>
      <c r="F98">
        <v>4</v>
      </c>
      <c r="G98">
        <v>1200.32</v>
      </c>
      <c r="H98" t="s">
        <v>16</v>
      </c>
      <c r="I98" s="1">
        <v>44992</v>
      </c>
      <c r="J98" t="s">
        <v>13</v>
      </c>
    </row>
    <row r="99" spans="1:10" x14ac:dyDescent="0.45">
      <c r="A99" t="s">
        <v>227</v>
      </c>
      <c r="B99" t="s">
        <v>228</v>
      </c>
      <c r="C99" t="s">
        <v>14</v>
      </c>
      <c r="D99">
        <v>55</v>
      </c>
      <c r="E99" t="s">
        <v>22</v>
      </c>
      <c r="F99">
        <v>5</v>
      </c>
      <c r="G99">
        <v>203.3</v>
      </c>
      <c r="H99" t="s">
        <v>12</v>
      </c>
      <c r="I99" s="1">
        <v>44946</v>
      </c>
      <c r="J99" t="s">
        <v>19</v>
      </c>
    </row>
    <row r="100" spans="1:10" x14ac:dyDescent="0.45">
      <c r="A100" t="s">
        <v>229</v>
      </c>
      <c r="B100" t="s">
        <v>230</v>
      </c>
      <c r="C100" t="s">
        <v>10</v>
      </c>
      <c r="D100">
        <v>59</v>
      </c>
      <c r="E100" t="s">
        <v>11</v>
      </c>
      <c r="F100">
        <v>5</v>
      </c>
      <c r="G100">
        <v>1500.4</v>
      </c>
      <c r="H100" t="s">
        <v>16</v>
      </c>
      <c r="I100" s="1">
        <v>44945</v>
      </c>
      <c r="J100" t="s">
        <v>26</v>
      </c>
    </row>
    <row r="101" spans="1:10" x14ac:dyDescent="0.45">
      <c r="A101" t="s">
        <v>231</v>
      </c>
      <c r="B101" t="s">
        <v>232</v>
      </c>
      <c r="C101" t="s">
        <v>10</v>
      </c>
      <c r="D101">
        <v>34</v>
      </c>
      <c r="E101" t="s">
        <v>21</v>
      </c>
      <c r="F101">
        <v>2</v>
      </c>
      <c r="G101">
        <v>30.3</v>
      </c>
      <c r="H101" t="s">
        <v>12</v>
      </c>
      <c r="I101" s="1">
        <v>44956</v>
      </c>
      <c r="J101" t="s">
        <v>13</v>
      </c>
    </row>
    <row r="102" spans="1:10" x14ac:dyDescent="0.45">
      <c r="A102" t="s">
        <v>233</v>
      </c>
      <c r="B102" t="s">
        <v>234</v>
      </c>
      <c r="C102" t="s">
        <v>10</v>
      </c>
      <c r="D102">
        <v>68</v>
      </c>
      <c r="E102" t="s">
        <v>35</v>
      </c>
      <c r="F102">
        <v>4</v>
      </c>
      <c r="G102">
        <v>4200</v>
      </c>
      <c r="H102" t="s">
        <v>16</v>
      </c>
      <c r="I102" s="1">
        <v>44932</v>
      </c>
      <c r="J102" t="s">
        <v>26</v>
      </c>
    </row>
    <row r="103" spans="1:10" x14ac:dyDescent="0.45">
      <c r="A103" t="s">
        <v>235</v>
      </c>
      <c r="B103" t="s">
        <v>236</v>
      </c>
      <c r="C103" t="s">
        <v>14</v>
      </c>
      <c r="D103">
        <v>30</v>
      </c>
      <c r="E103" t="s">
        <v>15</v>
      </c>
      <c r="F103">
        <v>2</v>
      </c>
      <c r="G103">
        <v>1200.3399999999999</v>
      </c>
      <c r="H103" t="s">
        <v>18</v>
      </c>
      <c r="I103" s="1">
        <v>44950</v>
      </c>
      <c r="J103" t="s">
        <v>23</v>
      </c>
    </row>
    <row r="104" spans="1:10" x14ac:dyDescent="0.45">
      <c r="A104" t="s">
        <v>237</v>
      </c>
      <c r="B104" t="s">
        <v>238</v>
      </c>
      <c r="C104" t="s">
        <v>10</v>
      </c>
      <c r="D104">
        <v>50</v>
      </c>
      <c r="E104" t="s">
        <v>11</v>
      </c>
      <c r="F104">
        <v>5</v>
      </c>
      <c r="G104">
        <v>1500.4</v>
      </c>
      <c r="H104" t="s">
        <v>18</v>
      </c>
      <c r="I104" s="1">
        <v>44969</v>
      </c>
      <c r="J104" t="s">
        <v>13</v>
      </c>
    </row>
    <row r="105" spans="1:10" x14ac:dyDescent="0.45">
      <c r="A105" t="s">
        <v>239</v>
      </c>
      <c r="B105" t="s">
        <v>240</v>
      </c>
      <c r="C105" t="s">
        <v>10</v>
      </c>
      <c r="D105">
        <v>42</v>
      </c>
      <c r="E105" t="s">
        <v>11</v>
      </c>
      <c r="F105">
        <v>5</v>
      </c>
      <c r="G105">
        <v>1500.4</v>
      </c>
      <c r="H105" t="s">
        <v>12</v>
      </c>
      <c r="I105" s="1">
        <v>44956</v>
      </c>
      <c r="J105" t="s">
        <v>24</v>
      </c>
    </row>
    <row r="106" spans="1:10" x14ac:dyDescent="0.45">
      <c r="A106" t="s">
        <v>241</v>
      </c>
      <c r="B106" t="s">
        <v>242</v>
      </c>
      <c r="C106" t="s">
        <v>14</v>
      </c>
      <c r="D106">
        <v>34</v>
      </c>
      <c r="E106" t="s">
        <v>11</v>
      </c>
      <c r="F106">
        <v>2</v>
      </c>
      <c r="G106">
        <v>600.16</v>
      </c>
      <c r="H106" t="s">
        <v>18</v>
      </c>
      <c r="I106" s="1">
        <v>44967</v>
      </c>
      <c r="J106" t="s">
        <v>19</v>
      </c>
    </row>
    <row r="107" spans="1:10" x14ac:dyDescent="0.45">
      <c r="A107" t="s">
        <v>243</v>
      </c>
      <c r="B107" t="s">
        <v>244</v>
      </c>
      <c r="C107" t="s">
        <v>10</v>
      </c>
      <c r="D107">
        <v>27</v>
      </c>
      <c r="E107" t="s">
        <v>11</v>
      </c>
      <c r="F107">
        <v>4</v>
      </c>
      <c r="G107">
        <v>1200.32</v>
      </c>
      <c r="H107" t="s">
        <v>16</v>
      </c>
      <c r="I107" s="1">
        <v>44943</v>
      </c>
      <c r="J107" t="s">
        <v>23</v>
      </c>
    </row>
    <row r="108" spans="1:10" x14ac:dyDescent="0.45">
      <c r="A108" t="s">
        <v>245</v>
      </c>
      <c r="B108" t="s">
        <v>246</v>
      </c>
      <c r="C108" t="s">
        <v>14</v>
      </c>
      <c r="D108">
        <v>39</v>
      </c>
      <c r="E108" t="s">
        <v>22</v>
      </c>
      <c r="F108">
        <v>4</v>
      </c>
      <c r="G108">
        <v>162.63999999999999</v>
      </c>
      <c r="H108" t="s">
        <v>12</v>
      </c>
      <c r="I108" s="1">
        <v>44943</v>
      </c>
      <c r="J108" t="s">
        <v>26</v>
      </c>
    </row>
    <row r="109" spans="1:10" x14ac:dyDescent="0.45">
      <c r="A109" t="s">
        <v>247</v>
      </c>
      <c r="B109" t="s">
        <v>248</v>
      </c>
      <c r="C109" t="s">
        <v>10</v>
      </c>
      <c r="D109">
        <v>45</v>
      </c>
      <c r="E109" t="s">
        <v>11</v>
      </c>
      <c r="F109">
        <v>2</v>
      </c>
      <c r="G109">
        <v>600.16</v>
      </c>
      <c r="H109" t="s">
        <v>12</v>
      </c>
      <c r="I109" s="1">
        <v>44990</v>
      </c>
      <c r="J109" t="s">
        <v>13</v>
      </c>
    </row>
    <row r="110" spans="1:10" x14ac:dyDescent="0.45">
      <c r="A110" t="s">
        <v>249</v>
      </c>
      <c r="B110" t="s">
        <v>250</v>
      </c>
      <c r="C110" t="s">
        <v>10</v>
      </c>
      <c r="D110">
        <v>26</v>
      </c>
      <c r="E110" t="s">
        <v>11</v>
      </c>
      <c r="F110">
        <v>5</v>
      </c>
      <c r="G110">
        <v>1500.4</v>
      </c>
      <c r="H110" t="s">
        <v>18</v>
      </c>
      <c r="I110" s="1">
        <v>44934</v>
      </c>
      <c r="J110" t="s">
        <v>19</v>
      </c>
    </row>
    <row r="111" spans="1:10" x14ac:dyDescent="0.45">
      <c r="A111" t="s">
        <v>251</v>
      </c>
      <c r="B111" t="s">
        <v>252</v>
      </c>
      <c r="C111" t="s">
        <v>14</v>
      </c>
      <c r="D111">
        <v>55</v>
      </c>
      <c r="E111" t="s">
        <v>25</v>
      </c>
      <c r="F111">
        <v>1</v>
      </c>
      <c r="G111">
        <v>5.23</v>
      </c>
      <c r="H111" t="s">
        <v>18</v>
      </c>
      <c r="I111" s="1">
        <v>44989</v>
      </c>
      <c r="J111" t="s">
        <v>19</v>
      </c>
    </row>
    <row r="112" spans="1:10" x14ac:dyDescent="0.45">
      <c r="A112" t="s">
        <v>253</v>
      </c>
      <c r="B112" t="s">
        <v>254</v>
      </c>
      <c r="C112" t="s">
        <v>14</v>
      </c>
      <c r="D112">
        <v>18</v>
      </c>
      <c r="E112" t="s">
        <v>44</v>
      </c>
      <c r="F112">
        <v>2</v>
      </c>
      <c r="G112">
        <v>23.46</v>
      </c>
      <c r="H112" t="s">
        <v>12</v>
      </c>
      <c r="I112" s="1">
        <v>44954</v>
      </c>
      <c r="J112" t="s">
        <v>23</v>
      </c>
    </row>
    <row r="113" spans="1:10" x14ac:dyDescent="0.45">
      <c r="A113" t="s">
        <v>255</v>
      </c>
      <c r="B113" t="s">
        <v>256</v>
      </c>
      <c r="C113" t="s">
        <v>10</v>
      </c>
      <c r="D113">
        <v>34</v>
      </c>
      <c r="E113" t="s">
        <v>44</v>
      </c>
      <c r="F113">
        <v>5</v>
      </c>
      <c r="G113">
        <v>58.65</v>
      </c>
      <c r="H113" t="s">
        <v>18</v>
      </c>
      <c r="I113" s="1">
        <v>44940</v>
      </c>
      <c r="J113" t="s">
        <v>13</v>
      </c>
    </row>
    <row r="114" spans="1:10" x14ac:dyDescent="0.45">
      <c r="A114" t="s">
        <v>257</v>
      </c>
      <c r="B114" t="s">
        <v>258</v>
      </c>
      <c r="C114" t="s">
        <v>14</v>
      </c>
      <c r="D114">
        <v>24</v>
      </c>
      <c r="E114" t="s">
        <v>22</v>
      </c>
      <c r="F114">
        <v>3</v>
      </c>
      <c r="G114">
        <v>121.98</v>
      </c>
      <c r="H114" t="s">
        <v>18</v>
      </c>
      <c r="I114" s="1">
        <v>44979</v>
      </c>
      <c r="J114" t="s">
        <v>20</v>
      </c>
    </row>
    <row r="115" spans="1:10" x14ac:dyDescent="0.45">
      <c r="A115" t="s">
        <v>259</v>
      </c>
      <c r="B115" t="s">
        <v>260</v>
      </c>
      <c r="C115" t="s">
        <v>10</v>
      </c>
      <c r="D115">
        <v>68</v>
      </c>
      <c r="E115" t="s">
        <v>15</v>
      </c>
      <c r="F115">
        <v>2</v>
      </c>
      <c r="G115">
        <v>1200.3399999999999</v>
      </c>
      <c r="H115" t="s">
        <v>12</v>
      </c>
      <c r="I115" s="1">
        <v>44941</v>
      </c>
      <c r="J115" t="s">
        <v>19</v>
      </c>
    </row>
    <row r="116" spans="1:10" x14ac:dyDescent="0.45">
      <c r="A116" t="s">
        <v>261</v>
      </c>
      <c r="B116" t="s">
        <v>262</v>
      </c>
      <c r="C116" t="s">
        <v>10</v>
      </c>
      <c r="D116">
        <v>62</v>
      </c>
      <c r="E116" t="s">
        <v>15</v>
      </c>
      <c r="F116">
        <v>3</v>
      </c>
      <c r="G116">
        <v>1800.51</v>
      </c>
      <c r="H116" t="s">
        <v>16</v>
      </c>
      <c r="I116" s="1">
        <v>44975</v>
      </c>
      <c r="J116" t="s">
        <v>24</v>
      </c>
    </row>
    <row r="117" spans="1:10" x14ac:dyDescent="0.45">
      <c r="A117" t="s">
        <v>263</v>
      </c>
      <c r="B117" t="s">
        <v>264</v>
      </c>
      <c r="C117" t="s">
        <v>10</v>
      </c>
      <c r="D117">
        <v>68</v>
      </c>
      <c r="E117" t="s">
        <v>22</v>
      </c>
      <c r="F117">
        <v>4</v>
      </c>
      <c r="G117">
        <v>162.63999999999999</v>
      </c>
      <c r="H117" t="s">
        <v>12</v>
      </c>
      <c r="I117" s="1">
        <v>44977</v>
      </c>
      <c r="J117" t="s">
        <v>24</v>
      </c>
    </row>
    <row r="118" spans="1:10" x14ac:dyDescent="0.45">
      <c r="A118" t="s">
        <v>265</v>
      </c>
      <c r="B118" t="s">
        <v>266</v>
      </c>
      <c r="C118" t="s">
        <v>10</v>
      </c>
      <c r="D118">
        <v>31</v>
      </c>
      <c r="E118" t="s">
        <v>25</v>
      </c>
      <c r="F118">
        <v>1</v>
      </c>
      <c r="G118">
        <v>5.23</v>
      </c>
      <c r="H118" t="s">
        <v>16</v>
      </c>
      <c r="I118" s="1">
        <v>44938</v>
      </c>
      <c r="J118" t="s">
        <v>24</v>
      </c>
    </row>
    <row r="119" spans="1:10" x14ac:dyDescent="0.45">
      <c r="A119" t="s">
        <v>267</v>
      </c>
      <c r="B119" t="s">
        <v>268</v>
      </c>
      <c r="C119" t="s">
        <v>14</v>
      </c>
      <c r="D119">
        <v>49</v>
      </c>
      <c r="E119" t="s">
        <v>22</v>
      </c>
      <c r="F119">
        <v>1</v>
      </c>
      <c r="G119">
        <v>40.659999999999997</v>
      </c>
      <c r="H119" t="s">
        <v>18</v>
      </c>
      <c r="I119" s="1">
        <v>44944</v>
      </c>
      <c r="J119" t="s">
        <v>20</v>
      </c>
    </row>
    <row r="120" spans="1:10" x14ac:dyDescent="0.45">
      <c r="A120" t="s">
        <v>269</v>
      </c>
      <c r="B120" t="s">
        <v>270</v>
      </c>
      <c r="C120" t="s">
        <v>10</v>
      </c>
      <c r="D120">
        <v>29</v>
      </c>
      <c r="E120" t="s">
        <v>22</v>
      </c>
      <c r="F120">
        <v>5</v>
      </c>
      <c r="G120">
        <v>203.3</v>
      </c>
      <c r="H120" t="s">
        <v>12</v>
      </c>
      <c r="I120" s="1">
        <v>44950</v>
      </c>
      <c r="J120" t="s">
        <v>24</v>
      </c>
    </row>
    <row r="121" spans="1:10" x14ac:dyDescent="0.45">
      <c r="A121" t="s">
        <v>271</v>
      </c>
      <c r="B121" t="s">
        <v>272</v>
      </c>
      <c r="C121" t="s">
        <v>10</v>
      </c>
      <c r="D121">
        <v>41</v>
      </c>
      <c r="E121" t="s">
        <v>21</v>
      </c>
      <c r="F121">
        <v>3</v>
      </c>
      <c r="G121">
        <v>45.45</v>
      </c>
      <c r="H121" t="s">
        <v>18</v>
      </c>
      <c r="I121" s="1">
        <v>44949</v>
      </c>
      <c r="J121" t="s">
        <v>24</v>
      </c>
    </row>
    <row r="122" spans="1:10" x14ac:dyDescent="0.45">
      <c r="A122" t="s">
        <v>273</v>
      </c>
      <c r="B122" t="s">
        <v>274</v>
      </c>
      <c r="C122" t="s">
        <v>10</v>
      </c>
      <c r="D122">
        <v>21</v>
      </c>
      <c r="E122" t="s">
        <v>22</v>
      </c>
      <c r="F122">
        <v>2</v>
      </c>
      <c r="G122">
        <v>81.319999999999993</v>
      </c>
      <c r="H122" t="s">
        <v>18</v>
      </c>
      <c r="I122" s="1">
        <v>44988</v>
      </c>
      <c r="J122" t="s">
        <v>13</v>
      </c>
    </row>
    <row r="123" spans="1:10" x14ac:dyDescent="0.45">
      <c r="A123" t="s">
        <v>275</v>
      </c>
      <c r="B123" t="s">
        <v>276</v>
      </c>
      <c r="C123" t="s">
        <v>10</v>
      </c>
      <c r="D123">
        <v>69</v>
      </c>
      <c r="E123" t="s">
        <v>15</v>
      </c>
      <c r="F123">
        <v>4</v>
      </c>
      <c r="G123">
        <v>2400.6799999999998</v>
      </c>
      <c r="H123" t="s">
        <v>16</v>
      </c>
      <c r="I123" s="1">
        <v>44945</v>
      </c>
      <c r="J123" t="s">
        <v>20</v>
      </c>
    </row>
    <row r="124" spans="1:10" x14ac:dyDescent="0.45">
      <c r="A124" t="s">
        <v>277</v>
      </c>
      <c r="B124" t="s">
        <v>278</v>
      </c>
      <c r="C124" t="s">
        <v>10</v>
      </c>
      <c r="D124">
        <v>18</v>
      </c>
      <c r="E124" t="s">
        <v>21</v>
      </c>
      <c r="F124">
        <v>4</v>
      </c>
      <c r="G124">
        <v>60.6</v>
      </c>
      <c r="H124" t="s">
        <v>12</v>
      </c>
      <c r="I124" s="1">
        <v>44928</v>
      </c>
      <c r="J124" t="s">
        <v>13</v>
      </c>
    </row>
    <row r="125" spans="1:10" x14ac:dyDescent="0.45">
      <c r="A125" t="s">
        <v>279</v>
      </c>
      <c r="B125" t="s">
        <v>280</v>
      </c>
      <c r="C125" t="s">
        <v>10</v>
      </c>
      <c r="D125">
        <v>66</v>
      </c>
      <c r="E125" t="s">
        <v>25</v>
      </c>
      <c r="F125">
        <v>5</v>
      </c>
      <c r="G125">
        <v>26.15</v>
      </c>
      <c r="H125" t="s">
        <v>12</v>
      </c>
      <c r="I125" s="1">
        <v>44939</v>
      </c>
      <c r="J125" t="s">
        <v>24</v>
      </c>
    </row>
    <row r="126" spans="1:10" x14ac:dyDescent="0.45">
      <c r="A126" t="s">
        <v>281</v>
      </c>
      <c r="B126" t="s">
        <v>282</v>
      </c>
      <c r="C126" t="s">
        <v>10</v>
      </c>
      <c r="D126">
        <v>41</v>
      </c>
      <c r="E126" t="s">
        <v>25</v>
      </c>
      <c r="F126">
        <v>5</v>
      </c>
      <c r="G126">
        <v>26.15</v>
      </c>
      <c r="H126" t="s">
        <v>16</v>
      </c>
      <c r="I126" s="1">
        <v>44931</v>
      </c>
      <c r="J126" t="s">
        <v>24</v>
      </c>
    </row>
    <row r="127" spans="1:10" x14ac:dyDescent="0.45">
      <c r="A127" t="s">
        <v>283</v>
      </c>
      <c r="B127" t="s">
        <v>284</v>
      </c>
      <c r="C127" t="s">
        <v>14</v>
      </c>
      <c r="D127">
        <v>26</v>
      </c>
      <c r="E127" t="s">
        <v>15</v>
      </c>
      <c r="F127">
        <v>2</v>
      </c>
      <c r="G127">
        <v>1200.3399999999999</v>
      </c>
      <c r="H127" t="s">
        <v>18</v>
      </c>
      <c r="I127" s="1">
        <v>44969</v>
      </c>
      <c r="J127" t="s">
        <v>26</v>
      </c>
    </row>
    <row r="128" spans="1:10" x14ac:dyDescent="0.45">
      <c r="A128" t="s">
        <v>285</v>
      </c>
      <c r="B128" t="s">
        <v>286</v>
      </c>
      <c r="C128" t="s">
        <v>10</v>
      </c>
      <c r="D128">
        <v>69</v>
      </c>
      <c r="E128" t="s">
        <v>44</v>
      </c>
      <c r="F128">
        <v>5</v>
      </c>
      <c r="G128">
        <v>58.65</v>
      </c>
      <c r="H128" t="s">
        <v>12</v>
      </c>
      <c r="I128" s="1">
        <v>44987</v>
      </c>
      <c r="J128" t="s">
        <v>24</v>
      </c>
    </row>
    <row r="129" spans="1:10" x14ac:dyDescent="0.45">
      <c r="A129" t="s">
        <v>287</v>
      </c>
      <c r="B129" t="s">
        <v>288</v>
      </c>
      <c r="C129" t="s">
        <v>14</v>
      </c>
      <c r="D129">
        <v>67</v>
      </c>
      <c r="E129" t="s">
        <v>44</v>
      </c>
      <c r="F129">
        <v>2</v>
      </c>
      <c r="G129">
        <v>23.46</v>
      </c>
      <c r="H129" t="s">
        <v>18</v>
      </c>
      <c r="I129" s="1">
        <v>44973</v>
      </c>
      <c r="J129" t="s">
        <v>26</v>
      </c>
    </row>
    <row r="130" spans="1:10" x14ac:dyDescent="0.45">
      <c r="A130" t="s">
        <v>289</v>
      </c>
      <c r="B130" t="s">
        <v>290</v>
      </c>
      <c r="C130" t="s">
        <v>10</v>
      </c>
      <c r="D130">
        <v>42</v>
      </c>
      <c r="E130" t="s">
        <v>22</v>
      </c>
      <c r="F130">
        <v>2</v>
      </c>
      <c r="G130">
        <v>81.319999999999993</v>
      </c>
      <c r="H130" t="s">
        <v>16</v>
      </c>
      <c r="I130" s="1">
        <v>44975</v>
      </c>
      <c r="J130" t="s">
        <v>13</v>
      </c>
    </row>
    <row r="131" spans="1:10" x14ac:dyDescent="0.45">
      <c r="A131" t="s">
        <v>291</v>
      </c>
      <c r="B131" t="s">
        <v>292</v>
      </c>
      <c r="C131" t="s">
        <v>10</v>
      </c>
      <c r="D131">
        <v>43</v>
      </c>
      <c r="E131" t="s">
        <v>11</v>
      </c>
      <c r="F131">
        <v>5</v>
      </c>
      <c r="G131">
        <v>1500.4</v>
      </c>
      <c r="H131" t="s">
        <v>18</v>
      </c>
      <c r="I131" s="1">
        <v>44978</v>
      </c>
      <c r="J131" t="s">
        <v>20</v>
      </c>
    </row>
    <row r="132" spans="1:10" x14ac:dyDescent="0.45">
      <c r="A132" t="s">
        <v>293</v>
      </c>
      <c r="B132" t="s">
        <v>294</v>
      </c>
      <c r="C132" t="s">
        <v>10</v>
      </c>
      <c r="D132">
        <v>32</v>
      </c>
      <c r="E132" t="s">
        <v>11</v>
      </c>
      <c r="F132">
        <v>2</v>
      </c>
      <c r="G132">
        <v>600.16</v>
      </c>
      <c r="H132" t="s">
        <v>12</v>
      </c>
      <c r="I132" s="1">
        <v>44963</v>
      </c>
      <c r="J132" t="s">
        <v>20</v>
      </c>
    </row>
    <row r="133" spans="1:10" x14ac:dyDescent="0.45">
      <c r="A133" t="s">
        <v>295</v>
      </c>
      <c r="B133" t="s">
        <v>296</v>
      </c>
      <c r="C133" t="s">
        <v>10</v>
      </c>
      <c r="D133">
        <v>34</v>
      </c>
      <c r="E133" t="s">
        <v>11</v>
      </c>
      <c r="F133">
        <v>1</v>
      </c>
      <c r="G133">
        <v>300.08</v>
      </c>
      <c r="H133" t="s">
        <v>18</v>
      </c>
      <c r="I133" s="1">
        <v>44993</v>
      </c>
      <c r="J133" t="s">
        <v>13</v>
      </c>
    </row>
    <row r="134" spans="1:10" x14ac:dyDescent="0.45">
      <c r="A134" t="s">
        <v>297</v>
      </c>
      <c r="B134" t="s">
        <v>298</v>
      </c>
      <c r="C134" t="s">
        <v>10</v>
      </c>
      <c r="D134">
        <v>69</v>
      </c>
      <c r="E134" t="s">
        <v>11</v>
      </c>
      <c r="F134">
        <v>2</v>
      </c>
      <c r="G134">
        <v>600.16</v>
      </c>
      <c r="H134" t="s">
        <v>18</v>
      </c>
      <c r="I134" s="1">
        <v>44934</v>
      </c>
      <c r="J134" t="s">
        <v>20</v>
      </c>
    </row>
    <row r="135" spans="1:10" x14ac:dyDescent="0.45">
      <c r="A135" t="s">
        <v>299</v>
      </c>
      <c r="B135" t="s">
        <v>300</v>
      </c>
      <c r="C135" t="s">
        <v>10</v>
      </c>
      <c r="D135">
        <v>64</v>
      </c>
      <c r="E135" t="s">
        <v>11</v>
      </c>
      <c r="F135">
        <v>1</v>
      </c>
      <c r="G135">
        <v>300.08</v>
      </c>
      <c r="H135" t="s">
        <v>18</v>
      </c>
      <c r="I135" s="1">
        <v>44955</v>
      </c>
      <c r="J135" t="s">
        <v>19</v>
      </c>
    </row>
    <row r="136" spans="1:10" x14ac:dyDescent="0.45">
      <c r="A136" t="s">
        <v>301</v>
      </c>
      <c r="B136" t="s">
        <v>302</v>
      </c>
      <c r="C136" t="s">
        <v>10</v>
      </c>
      <c r="D136">
        <v>69</v>
      </c>
      <c r="E136" t="s">
        <v>25</v>
      </c>
      <c r="F136">
        <v>5</v>
      </c>
      <c r="G136">
        <v>26.15</v>
      </c>
      <c r="H136" t="s">
        <v>12</v>
      </c>
      <c r="I136" s="1">
        <v>44955</v>
      </c>
      <c r="J136" t="s">
        <v>19</v>
      </c>
    </row>
    <row r="137" spans="1:10" x14ac:dyDescent="0.45">
      <c r="A137" t="s">
        <v>303</v>
      </c>
      <c r="B137" t="s">
        <v>304</v>
      </c>
      <c r="C137" t="s">
        <v>14</v>
      </c>
      <c r="D137">
        <v>64</v>
      </c>
      <c r="E137" t="s">
        <v>25</v>
      </c>
      <c r="F137">
        <v>1</v>
      </c>
      <c r="G137">
        <v>5.23</v>
      </c>
      <c r="H137" t="s">
        <v>18</v>
      </c>
      <c r="I137" s="1">
        <v>44991</v>
      </c>
      <c r="J137" t="s">
        <v>29</v>
      </c>
    </row>
    <row r="138" spans="1:10" x14ac:dyDescent="0.45">
      <c r="A138" t="s">
        <v>305</v>
      </c>
      <c r="B138" t="s">
        <v>306</v>
      </c>
      <c r="C138" t="s">
        <v>10</v>
      </c>
      <c r="D138">
        <v>28</v>
      </c>
      <c r="E138" t="s">
        <v>27</v>
      </c>
      <c r="F138">
        <v>5</v>
      </c>
      <c r="G138">
        <v>179.2</v>
      </c>
      <c r="H138" t="s">
        <v>18</v>
      </c>
      <c r="I138" s="1">
        <v>44962</v>
      </c>
      <c r="J138" t="s">
        <v>19</v>
      </c>
    </row>
    <row r="139" spans="1:10" x14ac:dyDescent="0.45">
      <c r="A139" t="s">
        <v>307</v>
      </c>
      <c r="B139" t="s">
        <v>308</v>
      </c>
      <c r="C139" t="s">
        <v>10</v>
      </c>
      <c r="D139">
        <v>36</v>
      </c>
      <c r="E139" t="s">
        <v>11</v>
      </c>
      <c r="F139">
        <v>1</v>
      </c>
      <c r="G139">
        <v>300.08</v>
      </c>
      <c r="H139" t="s">
        <v>18</v>
      </c>
      <c r="I139" s="1">
        <v>44955</v>
      </c>
      <c r="J139" t="s">
        <v>29</v>
      </c>
    </row>
    <row r="140" spans="1:10" x14ac:dyDescent="0.45">
      <c r="A140" t="s">
        <v>309</v>
      </c>
      <c r="B140" t="s">
        <v>310</v>
      </c>
      <c r="C140" t="s">
        <v>14</v>
      </c>
      <c r="D140">
        <v>20</v>
      </c>
      <c r="E140" t="s">
        <v>25</v>
      </c>
      <c r="F140">
        <v>5</v>
      </c>
      <c r="G140">
        <v>26.15</v>
      </c>
      <c r="H140" t="s">
        <v>18</v>
      </c>
      <c r="I140" s="1">
        <v>44957</v>
      </c>
      <c r="J140" t="s">
        <v>24</v>
      </c>
    </row>
    <row r="141" spans="1:10" x14ac:dyDescent="0.45">
      <c r="A141" t="s">
        <v>311</v>
      </c>
      <c r="B141" t="s">
        <v>312</v>
      </c>
      <c r="C141" t="s">
        <v>10</v>
      </c>
      <c r="D141">
        <v>38</v>
      </c>
      <c r="E141" t="s">
        <v>25</v>
      </c>
      <c r="F141">
        <v>2</v>
      </c>
      <c r="G141">
        <v>10.46</v>
      </c>
      <c r="H141" t="s">
        <v>18</v>
      </c>
      <c r="I141" s="1">
        <v>44957</v>
      </c>
      <c r="J141" t="s">
        <v>13</v>
      </c>
    </row>
    <row r="142" spans="1:10" x14ac:dyDescent="0.45">
      <c r="A142" t="s">
        <v>313</v>
      </c>
      <c r="B142" t="s">
        <v>314</v>
      </c>
      <c r="C142" t="s">
        <v>10</v>
      </c>
      <c r="D142">
        <v>36</v>
      </c>
      <c r="E142" t="s">
        <v>22</v>
      </c>
      <c r="F142">
        <v>3</v>
      </c>
      <c r="G142">
        <v>121.98</v>
      </c>
      <c r="H142" t="s">
        <v>16</v>
      </c>
      <c r="I142" s="1">
        <v>44938</v>
      </c>
      <c r="J142" t="s">
        <v>30</v>
      </c>
    </row>
    <row r="143" spans="1:10" x14ac:dyDescent="0.45">
      <c r="A143" t="s">
        <v>315</v>
      </c>
      <c r="B143" t="s">
        <v>316</v>
      </c>
      <c r="C143" t="s">
        <v>10</v>
      </c>
      <c r="D143">
        <v>64</v>
      </c>
      <c r="E143" t="s">
        <v>11</v>
      </c>
      <c r="F143">
        <v>3</v>
      </c>
      <c r="G143">
        <v>900.24</v>
      </c>
      <c r="H143" t="s">
        <v>16</v>
      </c>
      <c r="I143" s="1">
        <v>44959</v>
      </c>
      <c r="J143" t="s">
        <v>24</v>
      </c>
    </row>
    <row r="144" spans="1:10" x14ac:dyDescent="0.45">
      <c r="A144" t="s">
        <v>317</v>
      </c>
      <c r="B144" t="s">
        <v>318</v>
      </c>
      <c r="C144" t="s">
        <v>10</v>
      </c>
      <c r="D144">
        <v>23</v>
      </c>
      <c r="E144" t="s">
        <v>11</v>
      </c>
      <c r="F144">
        <v>2</v>
      </c>
      <c r="G144">
        <v>600.16</v>
      </c>
      <c r="H144" t="s">
        <v>12</v>
      </c>
      <c r="I144" s="1">
        <v>44948</v>
      </c>
      <c r="J144" t="s">
        <v>13</v>
      </c>
    </row>
    <row r="145" spans="1:10" x14ac:dyDescent="0.45">
      <c r="A145" t="s">
        <v>319</v>
      </c>
      <c r="B145" t="s">
        <v>320</v>
      </c>
      <c r="C145" t="s">
        <v>14</v>
      </c>
      <c r="D145">
        <v>39</v>
      </c>
      <c r="E145" t="s">
        <v>21</v>
      </c>
      <c r="F145">
        <v>2</v>
      </c>
      <c r="G145">
        <v>30.3</v>
      </c>
      <c r="H145" t="s">
        <v>18</v>
      </c>
      <c r="I145" s="1">
        <v>44990</v>
      </c>
      <c r="J145" t="s">
        <v>19</v>
      </c>
    </row>
    <row r="146" spans="1:10" x14ac:dyDescent="0.45">
      <c r="A146" t="s">
        <v>321</v>
      </c>
      <c r="B146" t="s">
        <v>322</v>
      </c>
      <c r="C146" t="s">
        <v>10</v>
      </c>
      <c r="D146">
        <v>35</v>
      </c>
      <c r="E146" t="s">
        <v>11</v>
      </c>
      <c r="F146">
        <v>1</v>
      </c>
      <c r="G146">
        <v>300.08</v>
      </c>
      <c r="H146" t="s">
        <v>18</v>
      </c>
      <c r="I146" s="1">
        <v>44965</v>
      </c>
      <c r="J146" t="s">
        <v>29</v>
      </c>
    </row>
    <row r="147" spans="1:10" x14ac:dyDescent="0.45">
      <c r="A147" t="s">
        <v>323</v>
      </c>
      <c r="B147" t="s">
        <v>324</v>
      </c>
      <c r="C147" t="s">
        <v>14</v>
      </c>
      <c r="D147">
        <v>39</v>
      </c>
      <c r="E147" t="s">
        <v>22</v>
      </c>
      <c r="F147">
        <v>5</v>
      </c>
      <c r="G147">
        <v>203.3</v>
      </c>
      <c r="H147" t="s">
        <v>16</v>
      </c>
      <c r="I147" s="1">
        <v>44964</v>
      </c>
      <c r="J147" t="s">
        <v>30</v>
      </c>
    </row>
    <row r="148" spans="1:10" x14ac:dyDescent="0.45">
      <c r="A148" t="s">
        <v>325</v>
      </c>
      <c r="B148" t="s">
        <v>326</v>
      </c>
      <c r="C148" t="s">
        <v>10</v>
      </c>
      <c r="D148">
        <v>53</v>
      </c>
      <c r="E148" t="s">
        <v>35</v>
      </c>
      <c r="F148">
        <v>5</v>
      </c>
      <c r="G148">
        <v>5250</v>
      </c>
      <c r="H148" t="s">
        <v>18</v>
      </c>
      <c r="I148" s="1">
        <v>44950</v>
      </c>
      <c r="J148" t="s">
        <v>24</v>
      </c>
    </row>
    <row r="149" spans="1:10" x14ac:dyDescent="0.45">
      <c r="A149" t="s">
        <v>327</v>
      </c>
      <c r="B149" t="s">
        <v>328</v>
      </c>
      <c r="C149" t="s">
        <v>14</v>
      </c>
      <c r="D149">
        <v>24</v>
      </c>
      <c r="E149" t="s">
        <v>25</v>
      </c>
      <c r="F149">
        <v>1</v>
      </c>
      <c r="G149">
        <v>5.23</v>
      </c>
      <c r="H149" t="s">
        <v>18</v>
      </c>
      <c r="I149" s="1">
        <v>44950</v>
      </c>
      <c r="J149" t="s">
        <v>13</v>
      </c>
    </row>
    <row r="150" spans="1:10" x14ac:dyDescent="0.45">
      <c r="A150" t="s">
        <v>329</v>
      </c>
      <c r="B150" t="s">
        <v>330</v>
      </c>
      <c r="C150" t="s">
        <v>14</v>
      </c>
      <c r="D150">
        <v>55</v>
      </c>
      <c r="E150" t="s">
        <v>11</v>
      </c>
      <c r="F150">
        <v>3</v>
      </c>
      <c r="G150">
        <v>900.24</v>
      </c>
      <c r="H150" t="s">
        <v>12</v>
      </c>
      <c r="I150" s="1">
        <v>44978</v>
      </c>
      <c r="J150" t="s">
        <v>23</v>
      </c>
    </row>
    <row r="151" spans="1:10" x14ac:dyDescent="0.45">
      <c r="A151" t="s">
        <v>331</v>
      </c>
      <c r="B151" t="s">
        <v>332</v>
      </c>
      <c r="C151" t="s">
        <v>10</v>
      </c>
      <c r="D151">
        <v>61</v>
      </c>
      <c r="E151" t="s">
        <v>11</v>
      </c>
      <c r="F151">
        <v>3</v>
      </c>
      <c r="G151">
        <v>900.24</v>
      </c>
      <c r="H151" t="s">
        <v>18</v>
      </c>
      <c r="I151" s="1">
        <v>44948</v>
      </c>
      <c r="J151" t="s">
        <v>23</v>
      </c>
    </row>
    <row r="152" spans="1:10" x14ac:dyDescent="0.45">
      <c r="A152" t="s">
        <v>333</v>
      </c>
      <c r="B152" t="s">
        <v>334</v>
      </c>
      <c r="C152" t="s">
        <v>10</v>
      </c>
      <c r="D152">
        <v>39</v>
      </c>
      <c r="E152" t="s">
        <v>25</v>
      </c>
      <c r="F152">
        <v>5</v>
      </c>
      <c r="G152">
        <v>26.15</v>
      </c>
      <c r="H152" t="s">
        <v>18</v>
      </c>
      <c r="I152" s="1">
        <v>44958</v>
      </c>
      <c r="J152" t="s">
        <v>24</v>
      </c>
    </row>
    <row r="153" spans="1:10" x14ac:dyDescent="0.45">
      <c r="A153" t="s">
        <v>335</v>
      </c>
      <c r="B153" t="s">
        <v>336</v>
      </c>
      <c r="C153" t="s">
        <v>10</v>
      </c>
      <c r="D153">
        <v>29</v>
      </c>
      <c r="E153" t="s">
        <v>11</v>
      </c>
      <c r="F153">
        <v>4</v>
      </c>
      <c r="G153">
        <v>1200.32</v>
      </c>
      <c r="H153" t="s">
        <v>18</v>
      </c>
      <c r="I153" s="1">
        <v>44943</v>
      </c>
      <c r="J153" t="s">
        <v>24</v>
      </c>
    </row>
    <row r="154" spans="1:10" x14ac:dyDescent="0.45">
      <c r="A154" t="s">
        <v>337</v>
      </c>
      <c r="B154" t="s">
        <v>338</v>
      </c>
      <c r="C154" t="s">
        <v>10</v>
      </c>
      <c r="D154">
        <v>50</v>
      </c>
      <c r="E154" t="s">
        <v>21</v>
      </c>
      <c r="F154">
        <v>5</v>
      </c>
      <c r="G154">
        <v>75.75</v>
      </c>
      <c r="H154" t="s">
        <v>18</v>
      </c>
      <c r="I154" s="1">
        <v>44959</v>
      </c>
      <c r="J154" t="s">
        <v>24</v>
      </c>
    </row>
    <row r="155" spans="1:10" x14ac:dyDescent="0.45">
      <c r="A155" t="s">
        <v>339</v>
      </c>
      <c r="B155" t="s">
        <v>340</v>
      </c>
      <c r="C155" t="s">
        <v>10</v>
      </c>
      <c r="D155">
        <v>54</v>
      </c>
      <c r="E155" t="s">
        <v>44</v>
      </c>
      <c r="F155">
        <v>3</v>
      </c>
      <c r="G155">
        <v>35.19</v>
      </c>
      <c r="H155" t="s">
        <v>18</v>
      </c>
      <c r="I155" s="1">
        <v>44972</v>
      </c>
      <c r="J155" t="s">
        <v>13</v>
      </c>
    </row>
    <row r="156" spans="1:10" x14ac:dyDescent="0.45">
      <c r="A156" t="s">
        <v>341</v>
      </c>
      <c r="B156" t="s">
        <v>342</v>
      </c>
      <c r="C156" t="s">
        <v>14</v>
      </c>
      <c r="D156">
        <v>36</v>
      </c>
      <c r="E156" t="s">
        <v>22</v>
      </c>
      <c r="F156">
        <v>3</v>
      </c>
      <c r="G156">
        <v>121.98</v>
      </c>
      <c r="H156" t="s">
        <v>18</v>
      </c>
      <c r="I156" s="1">
        <v>44935</v>
      </c>
      <c r="J156" t="s">
        <v>19</v>
      </c>
    </row>
    <row r="157" spans="1:10" x14ac:dyDescent="0.45">
      <c r="A157" t="s">
        <v>343</v>
      </c>
      <c r="B157" t="s">
        <v>344</v>
      </c>
      <c r="C157" t="s">
        <v>14</v>
      </c>
      <c r="D157">
        <v>31</v>
      </c>
      <c r="E157" t="s">
        <v>15</v>
      </c>
      <c r="F157">
        <v>5</v>
      </c>
      <c r="G157">
        <v>3000.85</v>
      </c>
      <c r="H157" t="s">
        <v>12</v>
      </c>
      <c r="I157" s="1">
        <v>44939</v>
      </c>
      <c r="J157" t="s">
        <v>20</v>
      </c>
    </row>
    <row r="158" spans="1:10" x14ac:dyDescent="0.45">
      <c r="A158" t="s">
        <v>345</v>
      </c>
      <c r="B158" t="s">
        <v>346</v>
      </c>
      <c r="C158" t="s">
        <v>10</v>
      </c>
      <c r="D158">
        <v>37</v>
      </c>
      <c r="E158" t="s">
        <v>15</v>
      </c>
      <c r="F158">
        <v>5</v>
      </c>
      <c r="G158">
        <v>3000.85</v>
      </c>
      <c r="H158" t="s">
        <v>18</v>
      </c>
      <c r="I158" s="1">
        <v>44931</v>
      </c>
      <c r="J158" t="s">
        <v>19</v>
      </c>
    </row>
    <row r="159" spans="1:10" x14ac:dyDescent="0.45">
      <c r="A159" t="s">
        <v>347</v>
      </c>
      <c r="B159" t="s">
        <v>348</v>
      </c>
      <c r="C159" t="s">
        <v>10</v>
      </c>
      <c r="D159">
        <v>22</v>
      </c>
      <c r="E159" t="s">
        <v>22</v>
      </c>
      <c r="F159">
        <v>4</v>
      </c>
      <c r="G159">
        <v>162.63999999999999</v>
      </c>
      <c r="H159" t="s">
        <v>18</v>
      </c>
      <c r="I159" s="1">
        <v>44959</v>
      </c>
      <c r="J159" t="s">
        <v>30</v>
      </c>
    </row>
    <row r="160" spans="1:10" x14ac:dyDescent="0.45">
      <c r="A160" t="s">
        <v>349</v>
      </c>
      <c r="B160" t="s">
        <v>350</v>
      </c>
      <c r="C160" t="s">
        <v>10</v>
      </c>
      <c r="D160">
        <v>61</v>
      </c>
      <c r="E160" t="s">
        <v>11</v>
      </c>
      <c r="F160">
        <v>1</v>
      </c>
      <c r="G160">
        <v>300.08</v>
      </c>
      <c r="H160" t="s">
        <v>18</v>
      </c>
      <c r="I160" s="1">
        <v>44964</v>
      </c>
      <c r="J160" t="s">
        <v>26</v>
      </c>
    </row>
    <row r="161" spans="1:10" x14ac:dyDescent="0.45">
      <c r="A161" t="s">
        <v>351</v>
      </c>
      <c r="B161" t="s">
        <v>352</v>
      </c>
      <c r="C161" t="s">
        <v>10</v>
      </c>
      <c r="D161">
        <v>69</v>
      </c>
      <c r="E161" t="s">
        <v>35</v>
      </c>
      <c r="F161">
        <v>2</v>
      </c>
      <c r="G161">
        <v>2100</v>
      </c>
      <c r="H161" t="s">
        <v>18</v>
      </c>
      <c r="I161" s="1">
        <v>44977</v>
      </c>
      <c r="J161" t="s">
        <v>23</v>
      </c>
    </row>
    <row r="162" spans="1:10" x14ac:dyDescent="0.45">
      <c r="A162" t="s">
        <v>353</v>
      </c>
      <c r="B162" t="s">
        <v>354</v>
      </c>
      <c r="C162" t="s">
        <v>14</v>
      </c>
      <c r="D162">
        <v>42</v>
      </c>
      <c r="E162" t="s">
        <v>11</v>
      </c>
      <c r="F162">
        <v>4</v>
      </c>
      <c r="G162">
        <v>1200.32</v>
      </c>
      <c r="H162" t="s">
        <v>12</v>
      </c>
      <c r="I162" s="1">
        <v>44939</v>
      </c>
      <c r="J162" t="s">
        <v>13</v>
      </c>
    </row>
    <row r="163" spans="1:10" x14ac:dyDescent="0.45">
      <c r="A163" t="s">
        <v>355</v>
      </c>
      <c r="B163" t="s">
        <v>356</v>
      </c>
      <c r="C163" t="s">
        <v>10</v>
      </c>
      <c r="D163">
        <v>44</v>
      </c>
      <c r="E163" t="s">
        <v>11</v>
      </c>
      <c r="F163">
        <v>2</v>
      </c>
      <c r="G163">
        <v>600.16</v>
      </c>
      <c r="H163" t="s">
        <v>16</v>
      </c>
      <c r="I163" s="1">
        <v>44962</v>
      </c>
      <c r="J163" t="s">
        <v>29</v>
      </c>
    </row>
    <row r="164" spans="1:10" x14ac:dyDescent="0.45">
      <c r="A164" t="s">
        <v>357</v>
      </c>
      <c r="B164" t="s">
        <v>358</v>
      </c>
      <c r="C164" t="s">
        <v>10</v>
      </c>
      <c r="D164">
        <v>54</v>
      </c>
      <c r="E164" t="s">
        <v>27</v>
      </c>
      <c r="F164">
        <v>4</v>
      </c>
      <c r="G164">
        <v>143.36000000000001</v>
      </c>
      <c r="H164" t="s">
        <v>18</v>
      </c>
      <c r="I164" s="1">
        <v>44954</v>
      </c>
      <c r="J164" t="s">
        <v>23</v>
      </c>
    </row>
    <row r="165" spans="1:10" x14ac:dyDescent="0.45">
      <c r="A165" t="s">
        <v>359</v>
      </c>
      <c r="B165" t="s">
        <v>360</v>
      </c>
      <c r="C165" t="s">
        <v>10</v>
      </c>
      <c r="D165">
        <v>27</v>
      </c>
      <c r="E165" t="s">
        <v>11</v>
      </c>
      <c r="F165">
        <v>2</v>
      </c>
      <c r="G165">
        <v>600.16</v>
      </c>
      <c r="H165" t="s">
        <v>18</v>
      </c>
      <c r="I165" s="1">
        <v>44988</v>
      </c>
      <c r="J165" t="s">
        <v>24</v>
      </c>
    </row>
    <row r="166" spans="1:10" x14ac:dyDescent="0.45">
      <c r="A166" t="s">
        <v>361</v>
      </c>
      <c r="B166" t="s">
        <v>362</v>
      </c>
      <c r="C166" t="s">
        <v>14</v>
      </c>
      <c r="D166">
        <v>28</v>
      </c>
      <c r="E166" t="s">
        <v>11</v>
      </c>
      <c r="F166">
        <v>4</v>
      </c>
      <c r="G166">
        <v>1200.32</v>
      </c>
      <c r="H166" t="s">
        <v>16</v>
      </c>
      <c r="I166" s="1">
        <v>44962</v>
      </c>
      <c r="J166" t="s">
        <v>24</v>
      </c>
    </row>
    <row r="167" spans="1:10" x14ac:dyDescent="0.45">
      <c r="A167" t="s">
        <v>363</v>
      </c>
      <c r="B167" t="s">
        <v>364</v>
      </c>
      <c r="C167" t="s">
        <v>10</v>
      </c>
      <c r="D167">
        <v>60</v>
      </c>
      <c r="E167" t="s">
        <v>15</v>
      </c>
      <c r="F167">
        <v>3</v>
      </c>
      <c r="G167">
        <v>1800.51</v>
      </c>
      <c r="H167" t="s">
        <v>16</v>
      </c>
      <c r="I167" s="1">
        <v>44956</v>
      </c>
      <c r="J167" t="s">
        <v>20</v>
      </c>
    </row>
    <row r="168" spans="1:10" x14ac:dyDescent="0.45">
      <c r="A168" t="s">
        <v>365</v>
      </c>
      <c r="B168" t="s">
        <v>366</v>
      </c>
      <c r="C168" t="s">
        <v>10</v>
      </c>
      <c r="D168">
        <v>56</v>
      </c>
      <c r="E168" t="s">
        <v>11</v>
      </c>
      <c r="F168">
        <v>2</v>
      </c>
      <c r="G168">
        <v>600.16</v>
      </c>
      <c r="H168" t="s">
        <v>12</v>
      </c>
      <c r="I168" s="1">
        <v>44992</v>
      </c>
      <c r="J168" t="s">
        <v>19</v>
      </c>
    </row>
    <row r="169" spans="1:10" x14ac:dyDescent="0.45">
      <c r="A169" t="s">
        <v>367</v>
      </c>
      <c r="B169" t="s">
        <v>368</v>
      </c>
      <c r="C169" t="s">
        <v>14</v>
      </c>
      <c r="D169">
        <v>29</v>
      </c>
      <c r="E169" t="s">
        <v>21</v>
      </c>
      <c r="F169">
        <v>1</v>
      </c>
      <c r="G169">
        <v>15.15</v>
      </c>
      <c r="H169" t="s">
        <v>18</v>
      </c>
      <c r="I169" s="1">
        <v>44980</v>
      </c>
      <c r="J169" t="s">
        <v>29</v>
      </c>
    </row>
    <row r="170" spans="1:10" x14ac:dyDescent="0.45">
      <c r="A170" t="s">
        <v>369</v>
      </c>
      <c r="B170" t="s">
        <v>370</v>
      </c>
      <c r="C170" t="s">
        <v>10</v>
      </c>
      <c r="D170">
        <v>37</v>
      </c>
      <c r="E170" t="s">
        <v>11</v>
      </c>
      <c r="F170">
        <v>4</v>
      </c>
      <c r="G170">
        <v>1200.32</v>
      </c>
      <c r="H170" t="s">
        <v>18</v>
      </c>
      <c r="I170" s="1">
        <v>44983</v>
      </c>
      <c r="J170" t="s">
        <v>23</v>
      </c>
    </row>
    <row r="171" spans="1:10" x14ac:dyDescent="0.45">
      <c r="A171" t="s">
        <v>371</v>
      </c>
      <c r="B171" t="s">
        <v>372</v>
      </c>
      <c r="C171" t="s">
        <v>10</v>
      </c>
      <c r="D171">
        <v>49</v>
      </c>
      <c r="E171" t="s">
        <v>27</v>
      </c>
      <c r="F171">
        <v>2</v>
      </c>
      <c r="G171">
        <v>71.680000000000007</v>
      </c>
      <c r="H171" t="s">
        <v>16</v>
      </c>
      <c r="I171" s="1">
        <v>44991</v>
      </c>
      <c r="J171" t="s">
        <v>20</v>
      </c>
    </row>
    <row r="172" spans="1:10" x14ac:dyDescent="0.45">
      <c r="A172" t="s">
        <v>373</v>
      </c>
      <c r="B172" t="s">
        <v>374</v>
      </c>
      <c r="C172" t="s">
        <v>10</v>
      </c>
      <c r="D172">
        <v>29</v>
      </c>
      <c r="E172" t="s">
        <v>25</v>
      </c>
      <c r="F172">
        <v>3</v>
      </c>
      <c r="G172">
        <v>15.69</v>
      </c>
      <c r="H172" t="s">
        <v>12</v>
      </c>
      <c r="I172" s="1">
        <v>44964</v>
      </c>
      <c r="J172" t="s">
        <v>17</v>
      </c>
    </row>
    <row r="173" spans="1:10" x14ac:dyDescent="0.45">
      <c r="A173" t="s">
        <v>375</v>
      </c>
      <c r="B173" t="s">
        <v>376</v>
      </c>
      <c r="C173" t="s">
        <v>14</v>
      </c>
      <c r="D173">
        <v>39</v>
      </c>
      <c r="E173" t="s">
        <v>35</v>
      </c>
      <c r="F173">
        <v>4</v>
      </c>
      <c r="G173">
        <v>4200</v>
      </c>
      <c r="H173" t="s">
        <v>12</v>
      </c>
      <c r="I173" s="1">
        <v>44992</v>
      </c>
      <c r="J173" t="s">
        <v>23</v>
      </c>
    </row>
    <row r="174" spans="1:10" x14ac:dyDescent="0.45">
      <c r="A174" t="s">
        <v>377</v>
      </c>
      <c r="B174" t="s">
        <v>378</v>
      </c>
      <c r="C174" t="s">
        <v>10</v>
      </c>
      <c r="D174">
        <v>22</v>
      </c>
      <c r="E174" t="s">
        <v>11</v>
      </c>
      <c r="F174">
        <v>3</v>
      </c>
      <c r="G174">
        <v>900.24</v>
      </c>
      <c r="H174" t="s">
        <v>18</v>
      </c>
      <c r="I174" s="1">
        <v>44965</v>
      </c>
      <c r="J174" t="s">
        <v>24</v>
      </c>
    </row>
    <row r="175" spans="1:10" x14ac:dyDescent="0.45">
      <c r="A175" t="s">
        <v>379</v>
      </c>
      <c r="B175" t="s">
        <v>380</v>
      </c>
      <c r="C175" t="s">
        <v>10</v>
      </c>
      <c r="D175">
        <v>59</v>
      </c>
      <c r="E175" t="s">
        <v>11</v>
      </c>
      <c r="F175">
        <v>2</v>
      </c>
      <c r="G175">
        <v>600.16</v>
      </c>
      <c r="H175" t="s">
        <v>18</v>
      </c>
      <c r="I175" s="1">
        <v>44928</v>
      </c>
      <c r="J175" t="s">
        <v>29</v>
      </c>
    </row>
    <row r="176" spans="1:10" x14ac:dyDescent="0.45">
      <c r="A176" t="s">
        <v>381</v>
      </c>
      <c r="B176" t="s">
        <v>382</v>
      </c>
      <c r="C176" t="s">
        <v>10</v>
      </c>
      <c r="D176">
        <v>51</v>
      </c>
      <c r="E176" t="s">
        <v>11</v>
      </c>
      <c r="F176">
        <v>1</v>
      </c>
      <c r="G176">
        <v>300.08</v>
      </c>
      <c r="H176" t="s">
        <v>12</v>
      </c>
      <c r="I176" s="1">
        <v>44966</v>
      </c>
      <c r="J176" t="s">
        <v>23</v>
      </c>
    </row>
    <row r="177" spans="1:10" x14ac:dyDescent="0.45">
      <c r="A177" t="s">
        <v>383</v>
      </c>
      <c r="B177" t="s">
        <v>384</v>
      </c>
      <c r="C177" t="s">
        <v>14</v>
      </c>
      <c r="D177">
        <v>18</v>
      </c>
      <c r="E177" t="s">
        <v>35</v>
      </c>
      <c r="F177">
        <v>1</v>
      </c>
      <c r="G177">
        <v>1050</v>
      </c>
      <c r="H177" t="s">
        <v>18</v>
      </c>
      <c r="I177" s="1">
        <v>44935</v>
      </c>
      <c r="J177" t="s">
        <v>20</v>
      </c>
    </row>
    <row r="178" spans="1:10" x14ac:dyDescent="0.45">
      <c r="A178" t="s">
        <v>385</v>
      </c>
      <c r="B178" t="s">
        <v>386</v>
      </c>
      <c r="C178" t="s">
        <v>10</v>
      </c>
      <c r="D178">
        <v>36</v>
      </c>
      <c r="E178" t="s">
        <v>27</v>
      </c>
      <c r="F178">
        <v>3</v>
      </c>
      <c r="G178">
        <v>107.52</v>
      </c>
      <c r="H178" t="s">
        <v>18</v>
      </c>
      <c r="I178" s="1">
        <v>44980</v>
      </c>
      <c r="J178" t="s">
        <v>19</v>
      </c>
    </row>
    <row r="179" spans="1:10" x14ac:dyDescent="0.45">
      <c r="A179" t="s">
        <v>387</v>
      </c>
      <c r="B179" t="s">
        <v>388</v>
      </c>
      <c r="C179" t="s">
        <v>14</v>
      </c>
      <c r="D179">
        <v>55</v>
      </c>
      <c r="E179" t="s">
        <v>15</v>
      </c>
      <c r="F179">
        <v>4</v>
      </c>
      <c r="G179">
        <v>2400.6799999999998</v>
      </c>
      <c r="H179" t="s">
        <v>16</v>
      </c>
      <c r="I179" s="1">
        <v>44981</v>
      </c>
      <c r="J179" t="s">
        <v>24</v>
      </c>
    </row>
    <row r="180" spans="1:10" x14ac:dyDescent="0.45">
      <c r="A180" t="s">
        <v>389</v>
      </c>
      <c r="B180" t="s">
        <v>390</v>
      </c>
      <c r="C180" t="s">
        <v>10</v>
      </c>
      <c r="D180">
        <v>59</v>
      </c>
      <c r="E180" t="s">
        <v>22</v>
      </c>
      <c r="F180">
        <v>1</v>
      </c>
      <c r="G180">
        <v>40.659999999999997</v>
      </c>
      <c r="H180" t="s">
        <v>18</v>
      </c>
      <c r="I180" s="1">
        <v>44939</v>
      </c>
      <c r="J180" t="s">
        <v>24</v>
      </c>
    </row>
    <row r="181" spans="1:10" x14ac:dyDescent="0.45">
      <c r="A181" t="s">
        <v>391</v>
      </c>
      <c r="B181" t="s">
        <v>392</v>
      </c>
      <c r="C181" t="s">
        <v>14</v>
      </c>
      <c r="D181">
        <v>32</v>
      </c>
      <c r="E181" t="s">
        <v>11</v>
      </c>
      <c r="F181">
        <v>2</v>
      </c>
      <c r="G181">
        <v>600.16</v>
      </c>
      <c r="H181" t="s">
        <v>18</v>
      </c>
      <c r="I181" s="1">
        <v>44961</v>
      </c>
      <c r="J181" t="s">
        <v>19</v>
      </c>
    </row>
    <row r="182" spans="1:10" x14ac:dyDescent="0.45">
      <c r="A182" t="s">
        <v>393</v>
      </c>
      <c r="B182" t="s">
        <v>394</v>
      </c>
      <c r="C182" t="s">
        <v>10</v>
      </c>
      <c r="D182">
        <v>69</v>
      </c>
      <c r="E182" t="s">
        <v>11</v>
      </c>
      <c r="F182">
        <v>5</v>
      </c>
      <c r="G182">
        <v>1500.4</v>
      </c>
      <c r="H182" t="s">
        <v>12</v>
      </c>
      <c r="I182" s="1">
        <v>44973</v>
      </c>
      <c r="J182" t="s">
        <v>13</v>
      </c>
    </row>
    <row r="183" spans="1:10" x14ac:dyDescent="0.45">
      <c r="A183" t="s">
        <v>395</v>
      </c>
      <c r="B183" t="s">
        <v>396</v>
      </c>
      <c r="C183" t="s">
        <v>10</v>
      </c>
      <c r="D183">
        <v>64</v>
      </c>
      <c r="E183" t="s">
        <v>11</v>
      </c>
      <c r="F183">
        <v>3</v>
      </c>
      <c r="G183">
        <v>900.24</v>
      </c>
      <c r="H183" t="s">
        <v>12</v>
      </c>
      <c r="I183" s="1">
        <v>44929</v>
      </c>
      <c r="J183" t="s">
        <v>24</v>
      </c>
    </row>
    <row r="184" spans="1:10" x14ac:dyDescent="0.45">
      <c r="A184" t="s">
        <v>397</v>
      </c>
      <c r="B184" t="s">
        <v>398</v>
      </c>
      <c r="C184" t="s">
        <v>10</v>
      </c>
      <c r="D184">
        <v>23</v>
      </c>
      <c r="E184" t="s">
        <v>15</v>
      </c>
      <c r="F184">
        <v>3</v>
      </c>
      <c r="G184">
        <v>1800.51</v>
      </c>
      <c r="H184" t="s">
        <v>12</v>
      </c>
      <c r="I184" s="1">
        <v>44970</v>
      </c>
      <c r="J184" t="s">
        <v>24</v>
      </c>
    </row>
    <row r="185" spans="1:10" x14ac:dyDescent="0.45">
      <c r="A185" t="s">
        <v>399</v>
      </c>
      <c r="B185" t="s">
        <v>400</v>
      </c>
      <c r="C185" t="s">
        <v>14</v>
      </c>
      <c r="D185">
        <v>26</v>
      </c>
      <c r="E185" t="s">
        <v>27</v>
      </c>
      <c r="F185">
        <v>1</v>
      </c>
      <c r="G185">
        <v>35.840000000000003</v>
      </c>
      <c r="H185" t="s">
        <v>12</v>
      </c>
      <c r="I185" s="1">
        <v>44960</v>
      </c>
      <c r="J185" t="s">
        <v>29</v>
      </c>
    </row>
    <row r="186" spans="1:10" x14ac:dyDescent="0.45">
      <c r="A186" t="s">
        <v>401</v>
      </c>
      <c r="B186" t="s">
        <v>402</v>
      </c>
      <c r="C186" t="s">
        <v>10</v>
      </c>
      <c r="D186">
        <v>68</v>
      </c>
      <c r="E186" t="s">
        <v>11</v>
      </c>
      <c r="F186">
        <v>5</v>
      </c>
      <c r="G186">
        <v>1500.4</v>
      </c>
      <c r="H186" t="s">
        <v>12</v>
      </c>
      <c r="I186" s="1">
        <v>44984</v>
      </c>
      <c r="J186" t="s">
        <v>24</v>
      </c>
    </row>
    <row r="187" spans="1:10" x14ac:dyDescent="0.45">
      <c r="A187" t="s">
        <v>403</v>
      </c>
      <c r="B187" t="s">
        <v>404</v>
      </c>
      <c r="C187" t="s">
        <v>10</v>
      </c>
      <c r="D187">
        <v>55</v>
      </c>
      <c r="E187" t="s">
        <v>21</v>
      </c>
      <c r="F187">
        <v>4</v>
      </c>
      <c r="G187">
        <v>60.6</v>
      </c>
      <c r="H187" t="s">
        <v>16</v>
      </c>
      <c r="I187" s="1">
        <v>44964</v>
      </c>
      <c r="J187" t="s">
        <v>19</v>
      </c>
    </row>
    <row r="188" spans="1:10" x14ac:dyDescent="0.45">
      <c r="A188" t="s">
        <v>405</v>
      </c>
      <c r="B188" t="s">
        <v>406</v>
      </c>
      <c r="C188" t="s">
        <v>10</v>
      </c>
      <c r="D188">
        <v>69</v>
      </c>
      <c r="E188" t="s">
        <v>11</v>
      </c>
      <c r="F188">
        <v>1</v>
      </c>
      <c r="G188">
        <v>300.08</v>
      </c>
      <c r="H188" t="s">
        <v>18</v>
      </c>
      <c r="I188" s="1">
        <v>44984</v>
      </c>
      <c r="J188" t="s">
        <v>13</v>
      </c>
    </row>
    <row r="189" spans="1:10" x14ac:dyDescent="0.45">
      <c r="A189" t="s">
        <v>407</v>
      </c>
      <c r="B189" t="s">
        <v>408</v>
      </c>
      <c r="C189" t="s">
        <v>14</v>
      </c>
      <c r="D189">
        <v>68</v>
      </c>
      <c r="E189" t="s">
        <v>11</v>
      </c>
      <c r="F189">
        <v>2</v>
      </c>
      <c r="G189">
        <v>600.16</v>
      </c>
      <c r="H189" t="s">
        <v>12</v>
      </c>
      <c r="I189" s="1">
        <v>44984</v>
      </c>
      <c r="J189" t="s">
        <v>13</v>
      </c>
    </row>
    <row r="190" spans="1:10" x14ac:dyDescent="0.45">
      <c r="A190" t="s">
        <v>409</v>
      </c>
      <c r="B190" t="s">
        <v>410</v>
      </c>
      <c r="C190" t="s">
        <v>14</v>
      </c>
      <c r="D190">
        <v>22</v>
      </c>
      <c r="E190" t="s">
        <v>22</v>
      </c>
      <c r="F190">
        <v>3</v>
      </c>
      <c r="G190">
        <v>121.98</v>
      </c>
      <c r="H190" t="s">
        <v>12</v>
      </c>
      <c r="I190" s="1">
        <v>44949</v>
      </c>
      <c r="J190" t="s">
        <v>24</v>
      </c>
    </row>
    <row r="191" spans="1:10" x14ac:dyDescent="0.45">
      <c r="A191" t="s">
        <v>411</v>
      </c>
      <c r="B191" t="s">
        <v>412</v>
      </c>
      <c r="C191" t="s">
        <v>14</v>
      </c>
      <c r="D191">
        <v>29</v>
      </c>
      <c r="E191" t="s">
        <v>15</v>
      </c>
      <c r="F191">
        <v>2</v>
      </c>
      <c r="G191">
        <v>1200.3399999999999</v>
      </c>
      <c r="H191" t="s">
        <v>12</v>
      </c>
      <c r="I191" s="1">
        <v>44993</v>
      </c>
      <c r="J191" t="s">
        <v>20</v>
      </c>
    </row>
    <row r="192" spans="1:10" x14ac:dyDescent="0.45">
      <c r="A192" t="s">
        <v>413</v>
      </c>
      <c r="B192" t="s">
        <v>414</v>
      </c>
      <c r="C192" t="s">
        <v>14</v>
      </c>
      <c r="D192">
        <v>48</v>
      </c>
      <c r="E192" t="s">
        <v>15</v>
      </c>
      <c r="F192">
        <v>1</v>
      </c>
      <c r="G192">
        <v>600.16999999999996</v>
      </c>
      <c r="H192" t="s">
        <v>12</v>
      </c>
      <c r="I192" s="1">
        <v>44956</v>
      </c>
      <c r="J192" t="s">
        <v>29</v>
      </c>
    </row>
    <row r="193" spans="1:10" x14ac:dyDescent="0.45">
      <c r="A193" t="s">
        <v>415</v>
      </c>
      <c r="B193" t="s">
        <v>416</v>
      </c>
      <c r="C193" t="s">
        <v>14</v>
      </c>
      <c r="D193">
        <v>52</v>
      </c>
      <c r="E193" t="s">
        <v>27</v>
      </c>
      <c r="F193">
        <v>3</v>
      </c>
      <c r="G193">
        <v>107.52</v>
      </c>
      <c r="H193" t="s">
        <v>18</v>
      </c>
      <c r="I193" s="1">
        <v>44951</v>
      </c>
      <c r="J193" t="s">
        <v>23</v>
      </c>
    </row>
    <row r="194" spans="1:10" x14ac:dyDescent="0.45">
      <c r="A194" t="s">
        <v>417</v>
      </c>
      <c r="B194" t="s">
        <v>418</v>
      </c>
      <c r="C194" t="s">
        <v>10</v>
      </c>
      <c r="D194">
        <v>36</v>
      </c>
      <c r="E194" t="s">
        <v>11</v>
      </c>
      <c r="F194">
        <v>5</v>
      </c>
      <c r="G194">
        <v>1500.4</v>
      </c>
      <c r="H194" t="s">
        <v>12</v>
      </c>
      <c r="I194" s="1">
        <v>44948</v>
      </c>
      <c r="J194" t="s">
        <v>30</v>
      </c>
    </row>
    <row r="195" spans="1:10" x14ac:dyDescent="0.45">
      <c r="A195" t="s">
        <v>419</v>
      </c>
      <c r="B195" t="s">
        <v>420</v>
      </c>
      <c r="C195" t="s">
        <v>14</v>
      </c>
      <c r="D195">
        <v>53</v>
      </c>
      <c r="E195" t="s">
        <v>25</v>
      </c>
      <c r="F195">
        <v>5</v>
      </c>
      <c r="G195">
        <v>26.15</v>
      </c>
      <c r="H195" t="s">
        <v>12</v>
      </c>
      <c r="I195" s="1">
        <v>44978</v>
      </c>
      <c r="J195" t="s">
        <v>23</v>
      </c>
    </row>
    <row r="196" spans="1:10" x14ac:dyDescent="0.45">
      <c r="A196" t="s">
        <v>421</v>
      </c>
      <c r="B196" t="s">
        <v>422</v>
      </c>
      <c r="C196" t="s">
        <v>10</v>
      </c>
      <c r="D196">
        <v>28</v>
      </c>
      <c r="E196" t="s">
        <v>27</v>
      </c>
      <c r="F196">
        <v>3</v>
      </c>
      <c r="G196">
        <v>107.52</v>
      </c>
      <c r="H196" t="s">
        <v>16</v>
      </c>
      <c r="I196" s="1">
        <v>44980</v>
      </c>
      <c r="J196" t="s">
        <v>26</v>
      </c>
    </row>
    <row r="197" spans="1:10" x14ac:dyDescent="0.45">
      <c r="A197" t="s">
        <v>423</v>
      </c>
      <c r="B197" t="s">
        <v>424</v>
      </c>
      <c r="C197" t="s">
        <v>10</v>
      </c>
      <c r="D197">
        <v>64</v>
      </c>
      <c r="E197" t="s">
        <v>22</v>
      </c>
      <c r="F197">
        <v>4</v>
      </c>
      <c r="G197">
        <v>162.63999999999999</v>
      </c>
      <c r="H197" t="s">
        <v>12</v>
      </c>
      <c r="I197" s="1">
        <v>44989</v>
      </c>
      <c r="J197" t="s">
        <v>24</v>
      </c>
    </row>
    <row r="198" spans="1:10" x14ac:dyDescent="0.45">
      <c r="A198" t="s">
        <v>425</v>
      </c>
      <c r="B198" t="s">
        <v>426</v>
      </c>
      <c r="C198" t="s">
        <v>10</v>
      </c>
      <c r="D198">
        <v>45</v>
      </c>
      <c r="E198" t="s">
        <v>22</v>
      </c>
      <c r="F198">
        <v>3</v>
      </c>
      <c r="G198">
        <v>121.98</v>
      </c>
      <c r="H198" t="s">
        <v>18</v>
      </c>
      <c r="I198" s="1">
        <v>44948</v>
      </c>
      <c r="J198" t="s">
        <v>24</v>
      </c>
    </row>
    <row r="199" spans="1:10" x14ac:dyDescent="0.45">
      <c r="A199" t="s">
        <v>427</v>
      </c>
      <c r="B199" t="s">
        <v>428</v>
      </c>
      <c r="C199" t="s">
        <v>10</v>
      </c>
      <c r="D199">
        <v>65</v>
      </c>
      <c r="E199" t="s">
        <v>35</v>
      </c>
      <c r="F199">
        <v>2</v>
      </c>
      <c r="G199">
        <v>2100</v>
      </c>
      <c r="H199" t="s">
        <v>12</v>
      </c>
      <c r="I199" s="1">
        <v>44943</v>
      </c>
      <c r="J199" t="s">
        <v>24</v>
      </c>
    </row>
    <row r="200" spans="1:10" x14ac:dyDescent="0.45">
      <c r="A200" t="s">
        <v>429</v>
      </c>
      <c r="B200" t="s">
        <v>430</v>
      </c>
      <c r="C200" t="s">
        <v>10</v>
      </c>
      <c r="D200">
        <v>58</v>
      </c>
      <c r="E200" t="s">
        <v>11</v>
      </c>
      <c r="F200">
        <v>3</v>
      </c>
      <c r="G200">
        <v>900.24</v>
      </c>
      <c r="H200" t="s">
        <v>18</v>
      </c>
      <c r="I200" s="1">
        <v>44942</v>
      </c>
      <c r="J200" t="s">
        <v>24</v>
      </c>
    </row>
    <row r="201" spans="1:10" x14ac:dyDescent="0.45">
      <c r="A201" t="s">
        <v>431</v>
      </c>
      <c r="B201" t="s">
        <v>432</v>
      </c>
      <c r="C201" t="s">
        <v>14</v>
      </c>
      <c r="D201">
        <v>39</v>
      </c>
      <c r="E201" t="s">
        <v>11</v>
      </c>
      <c r="F201">
        <v>4</v>
      </c>
      <c r="G201">
        <v>1200.32</v>
      </c>
      <c r="H201" t="s">
        <v>12</v>
      </c>
      <c r="I201" s="1">
        <v>44939</v>
      </c>
      <c r="J201" t="s">
        <v>17</v>
      </c>
    </row>
    <row r="202" spans="1:10" x14ac:dyDescent="0.45">
      <c r="A202" t="s">
        <v>433</v>
      </c>
      <c r="B202" t="s">
        <v>434</v>
      </c>
      <c r="C202" t="s">
        <v>14</v>
      </c>
      <c r="D202">
        <v>53</v>
      </c>
      <c r="E202" t="s">
        <v>25</v>
      </c>
      <c r="F202">
        <v>3</v>
      </c>
      <c r="G202">
        <v>15.69</v>
      </c>
      <c r="H202" t="s">
        <v>18</v>
      </c>
      <c r="I202" s="1">
        <v>44973</v>
      </c>
      <c r="J202" t="s">
        <v>13</v>
      </c>
    </row>
    <row r="203" spans="1:10" x14ac:dyDescent="0.45">
      <c r="A203" t="s">
        <v>435</v>
      </c>
      <c r="B203" t="s">
        <v>436</v>
      </c>
      <c r="C203" t="s">
        <v>10</v>
      </c>
      <c r="D203">
        <v>39</v>
      </c>
      <c r="E203" t="s">
        <v>21</v>
      </c>
      <c r="F203">
        <v>5</v>
      </c>
      <c r="G203">
        <v>75.75</v>
      </c>
      <c r="H203" t="s">
        <v>12</v>
      </c>
      <c r="I203" s="1">
        <v>44930</v>
      </c>
      <c r="J203" t="s">
        <v>20</v>
      </c>
    </row>
    <row r="204" spans="1:10" x14ac:dyDescent="0.45">
      <c r="A204" t="s">
        <v>437</v>
      </c>
      <c r="B204" t="s">
        <v>438</v>
      </c>
      <c r="C204" t="s">
        <v>14</v>
      </c>
      <c r="D204">
        <v>54</v>
      </c>
      <c r="E204" t="s">
        <v>11</v>
      </c>
      <c r="F204">
        <v>5</v>
      </c>
      <c r="G204">
        <v>1500.4</v>
      </c>
      <c r="H204" t="s">
        <v>18</v>
      </c>
      <c r="I204" s="1">
        <v>44961</v>
      </c>
      <c r="J204" t="s">
        <v>23</v>
      </c>
    </row>
    <row r="205" spans="1:10" x14ac:dyDescent="0.45">
      <c r="A205" t="s">
        <v>439</v>
      </c>
      <c r="B205" t="s">
        <v>440</v>
      </c>
      <c r="C205" t="s">
        <v>10</v>
      </c>
      <c r="D205">
        <v>18</v>
      </c>
      <c r="E205" t="s">
        <v>44</v>
      </c>
      <c r="F205">
        <v>4</v>
      </c>
      <c r="G205">
        <v>46.92</v>
      </c>
      <c r="H205" t="s">
        <v>18</v>
      </c>
      <c r="I205" s="1">
        <v>44986</v>
      </c>
      <c r="J205" t="s">
        <v>19</v>
      </c>
    </row>
    <row r="206" spans="1:10" x14ac:dyDescent="0.45">
      <c r="A206" t="s">
        <v>441</v>
      </c>
      <c r="B206" t="s">
        <v>442</v>
      </c>
      <c r="C206" t="s">
        <v>10</v>
      </c>
      <c r="D206">
        <v>42</v>
      </c>
      <c r="E206" t="s">
        <v>25</v>
      </c>
      <c r="F206">
        <v>1</v>
      </c>
      <c r="G206">
        <v>5.23</v>
      </c>
      <c r="H206" t="s">
        <v>16</v>
      </c>
      <c r="I206" s="1">
        <v>44979</v>
      </c>
      <c r="J206" t="s">
        <v>29</v>
      </c>
    </row>
    <row r="207" spans="1:10" x14ac:dyDescent="0.45">
      <c r="A207" t="s">
        <v>443</v>
      </c>
      <c r="B207" t="s">
        <v>444</v>
      </c>
      <c r="C207" t="s">
        <v>14</v>
      </c>
      <c r="D207">
        <v>68</v>
      </c>
      <c r="E207" t="s">
        <v>11</v>
      </c>
      <c r="F207">
        <v>2</v>
      </c>
      <c r="G207">
        <v>600.16</v>
      </c>
      <c r="H207" t="s">
        <v>18</v>
      </c>
      <c r="I207" s="1">
        <v>44981</v>
      </c>
      <c r="J207" t="s">
        <v>20</v>
      </c>
    </row>
    <row r="208" spans="1:10" x14ac:dyDescent="0.45">
      <c r="A208" t="s">
        <v>445</v>
      </c>
      <c r="B208" t="s">
        <v>446</v>
      </c>
      <c r="C208" t="s">
        <v>14</v>
      </c>
      <c r="D208">
        <v>67</v>
      </c>
      <c r="E208" t="s">
        <v>27</v>
      </c>
      <c r="F208">
        <v>2</v>
      </c>
      <c r="G208">
        <v>71.680000000000007</v>
      </c>
      <c r="H208" t="s">
        <v>18</v>
      </c>
      <c r="I208" s="1">
        <v>44927</v>
      </c>
      <c r="J208" t="s">
        <v>13</v>
      </c>
    </row>
    <row r="209" spans="1:10" x14ac:dyDescent="0.45">
      <c r="A209" t="s">
        <v>447</v>
      </c>
      <c r="B209" t="s">
        <v>448</v>
      </c>
      <c r="C209" t="s">
        <v>14</v>
      </c>
      <c r="D209">
        <v>20</v>
      </c>
      <c r="E209" t="s">
        <v>11</v>
      </c>
      <c r="F209">
        <v>4</v>
      </c>
      <c r="G209">
        <v>1200.32</v>
      </c>
      <c r="H209" t="s">
        <v>18</v>
      </c>
      <c r="I209" s="1">
        <v>44931</v>
      </c>
      <c r="J209" t="s">
        <v>19</v>
      </c>
    </row>
    <row r="210" spans="1:10" x14ac:dyDescent="0.45">
      <c r="A210" t="s">
        <v>449</v>
      </c>
      <c r="B210" t="s">
        <v>450</v>
      </c>
      <c r="C210" t="s">
        <v>14</v>
      </c>
      <c r="D210">
        <v>30</v>
      </c>
      <c r="E210" t="s">
        <v>15</v>
      </c>
      <c r="F210">
        <v>1</v>
      </c>
      <c r="G210">
        <v>600.16999999999996</v>
      </c>
      <c r="H210" t="s">
        <v>12</v>
      </c>
      <c r="I210" s="1">
        <v>44938</v>
      </c>
      <c r="J210" t="s">
        <v>13</v>
      </c>
    </row>
    <row r="211" spans="1:10" x14ac:dyDescent="0.45">
      <c r="A211" t="s">
        <v>451</v>
      </c>
      <c r="B211" t="s">
        <v>452</v>
      </c>
      <c r="C211" t="s">
        <v>10</v>
      </c>
      <c r="D211">
        <v>41</v>
      </c>
      <c r="E211" t="s">
        <v>44</v>
      </c>
      <c r="F211">
        <v>2</v>
      </c>
      <c r="G211">
        <v>23.46</v>
      </c>
      <c r="H211" t="s">
        <v>18</v>
      </c>
      <c r="I211" s="1">
        <v>44965</v>
      </c>
      <c r="J211" t="s">
        <v>28</v>
      </c>
    </row>
    <row r="212" spans="1:10" x14ac:dyDescent="0.45">
      <c r="A212" t="s">
        <v>453</v>
      </c>
      <c r="B212" t="s">
        <v>454</v>
      </c>
      <c r="C212" t="s">
        <v>10</v>
      </c>
      <c r="D212">
        <v>39</v>
      </c>
      <c r="E212" t="s">
        <v>11</v>
      </c>
      <c r="F212">
        <v>1</v>
      </c>
      <c r="G212">
        <v>300.08</v>
      </c>
      <c r="H212" t="s">
        <v>12</v>
      </c>
      <c r="I212" s="1">
        <v>44960</v>
      </c>
      <c r="J212" t="s">
        <v>13</v>
      </c>
    </row>
    <row r="213" spans="1:10" x14ac:dyDescent="0.45">
      <c r="A213" t="s">
        <v>455</v>
      </c>
      <c r="B213" t="s">
        <v>456</v>
      </c>
      <c r="C213" t="s">
        <v>14</v>
      </c>
      <c r="D213">
        <v>33</v>
      </c>
      <c r="E213" t="s">
        <v>11</v>
      </c>
      <c r="F213">
        <v>3</v>
      </c>
      <c r="G213">
        <v>900.24</v>
      </c>
      <c r="H213" t="s">
        <v>16</v>
      </c>
      <c r="I213" s="1">
        <v>44971</v>
      </c>
      <c r="J213" t="s">
        <v>24</v>
      </c>
    </row>
    <row r="214" spans="1:10" x14ac:dyDescent="0.45">
      <c r="A214" t="s">
        <v>457</v>
      </c>
      <c r="B214" t="s">
        <v>458</v>
      </c>
      <c r="C214" t="s">
        <v>10</v>
      </c>
      <c r="D214">
        <v>66</v>
      </c>
      <c r="E214" t="s">
        <v>11</v>
      </c>
      <c r="F214">
        <v>4</v>
      </c>
      <c r="G214">
        <v>1200.32</v>
      </c>
      <c r="H214" t="s">
        <v>16</v>
      </c>
      <c r="I214" s="1">
        <v>44988</v>
      </c>
      <c r="J214" t="s">
        <v>19</v>
      </c>
    </row>
    <row r="215" spans="1:10" x14ac:dyDescent="0.45">
      <c r="A215" t="s">
        <v>459</v>
      </c>
      <c r="B215" t="s">
        <v>460</v>
      </c>
      <c r="C215" t="s">
        <v>10</v>
      </c>
      <c r="D215">
        <v>40</v>
      </c>
      <c r="E215" t="s">
        <v>27</v>
      </c>
      <c r="F215">
        <v>4</v>
      </c>
      <c r="G215">
        <v>143.36000000000001</v>
      </c>
      <c r="H215" t="s">
        <v>12</v>
      </c>
      <c r="I215" s="1">
        <v>44951</v>
      </c>
      <c r="J215" t="s">
        <v>24</v>
      </c>
    </row>
    <row r="216" spans="1:10" x14ac:dyDescent="0.45">
      <c r="A216" t="s">
        <v>461</v>
      </c>
      <c r="B216" t="s">
        <v>462</v>
      </c>
      <c r="C216" t="s">
        <v>10</v>
      </c>
      <c r="D216">
        <v>18</v>
      </c>
      <c r="E216" t="s">
        <v>11</v>
      </c>
      <c r="F216">
        <v>3</v>
      </c>
      <c r="G216">
        <v>900.24</v>
      </c>
      <c r="H216" t="s">
        <v>12</v>
      </c>
      <c r="I216" s="1">
        <v>44938</v>
      </c>
      <c r="J216" t="s">
        <v>20</v>
      </c>
    </row>
    <row r="217" spans="1:10" x14ac:dyDescent="0.45">
      <c r="A217" t="s">
        <v>463</v>
      </c>
      <c r="B217" t="s">
        <v>464</v>
      </c>
      <c r="C217" t="s">
        <v>10</v>
      </c>
      <c r="D217">
        <v>49</v>
      </c>
      <c r="E217" t="s">
        <v>11</v>
      </c>
      <c r="F217">
        <v>1</v>
      </c>
      <c r="G217">
        <v>300.08</v>
      </c>
      <c r="H217" t="s">
        <v>12</v>
      </c>
      <c r="I217" s="1">
        <v>44953</v>
      </c>
      <c r="J217" t="s">
        <v>30</v>
      </c>
    </row>
    <row r="218" spans="1:10" x14ac:dyDescent="0.45">
      <c r="A218" t="s">
        <v>465</v>
      </c>
      <c r="B218" t="s">
        <v>466</v>
      </c>
      <c r="C218" t="s">
        <v>10</v>
      </c>
      <c r="D218">
        <v>30</v>
      </c>
      <c r="E218" t="s">
        <v>11</v>
      </c>
      <c r="F218">
        <v>3</v>
      </c>
      <c r="G218">
        <v>900.24</v>
      </c>
      <c r="H218" t="s">
        <v>16</v>
      </c>
      <c r="I218" s="1">
        <v>44933</v>
      </c>
      <c r="J218" t="s">
        <v>19</v>
      </c>
    </row>
    <row r="219" spans="1:10" x14ac:dyDescent="0.45">
      <c r="A219" t="s">
        <v>467</v>
      </c>
      <c r="B219" t="s">
        <v>468</v>
      </c>
      <c r="C219" t="s">
        <v>10</v>
      </c>
      <c r="D219">
        <v>35</v>
      </c>
      <c r="E219" t="s">
        <v>11</v>
      </c>
      <c r="F219">
        <v>3</v>
      </c>
      <c r="G219">
        <v>900.24</v>
      </c>
      <c r="H219" t="s">
        <v>18</v>
      </c>
      <c r="I219" s="1">
        <v>44928</v>
      </c>
      <c r="J219" t="s">
        <v>24</v>
      </c>
    </row>
    <row r="220" spans="1:10" x14ac:dyDescent="0.45">
      <c r="A220" t="s">
        <v>469</v>
      </c>
      <c r="B220" t="s">
        <v>470</v>
      </c>
      <c r="C220" t="s">
        <v>10</v>
      </c>
      <c r="D220">
        <v>48</v>
      </c>
      <c r="E220" t="s">
        <v>11</v>
      </c>
      <c r="F220">
        <v>5</v>
      </c>
      <c r="G220">
        <v>1500.4</v>
      </c>
      <c r="H220" t="s">
        <v>16</v>
      </c>
      <c r="I220" s="1">
        <v>44986</v>
      </c>
      <c r="J220" t="s">
        <v>13</v>
      </c>
    </row>
    <row r="221" spans="1:10" x14ac:dyDescent="0.45">
      <c r="A221" t="s">
        <v>471</v>
      </c>
      <c r="B221" t="s">
        <v>472</v>
      </c>
      <c r="C221" t="s">
        <v>10</v>
      </c>
      <c r="D221">
        <v>51</v>
      </c>
      <c r="E221" t="s">
        <v>25</v>
      </c>
      <c r="F221">
        <v>1</v>
      </c>
      <c r="G221">
        <v>5.23</v>
      </c>
      <c r="H221" t="s">
        <v>18</v>
      </c>
      <c r="I221" s="1">
        <v>44934</v>
      </c>
      <c r="J221" t="s">
        <v>13</v>
      </c>
    </row>
    <row r="222" spans="1:10" x14ac:dyDescent="0.45">
      <c r="A222" t="s">
        <v>473</v>
      </c>
      <c r="B222" t="s">
        <v>474</v>
      </c>
      <c r="C222" t="s">
        <v>14</v>
      </c>
      <c r="D222">
        <v>29</v>
      </c>
      <c r="E222" t="s">
        <v>22</v>
      </c>
      <c r="F222">
        <v>5</v>
      </c>
      <c r="G222">
        <v>203.3</v>
      </c>
      <c r="H222" t="s">
        <v>12</v>
      </c>
      <c r="I222" s="1">
        <v>44979</v>
      </c>
      <c r="J222" t="s">
        <v>23</v>
      </c>
    </row>
    <row r="223" spans="1:10" x14ac:dyDescent="0.45">
      <c r="A223" t="s">
        <v>475</v>
      </c>
      <c r="B223" t="s">
        <v>476</v>
      </c>
      <c r="C223" t="s">
        <v>10</v>
      </c>
      <c r="D223">
        <v>54</v>
      </c>
      <c r="E223" t="s">
        <v>11</v>
      </c>
      <c r="F223">
        <v>5</v>
      </c>
      <c r="G223">
        <v>1500.4</v>
      </c>
      <c r="H223" t="s">
        <v>16</v>
      </c>
      <c r="I223" s="1">
        <v>44956</v>
      </c>
      <c r="J223" t="s">
        <v>13</v>
      </c>
    </row>
    <row r="224" spans="1:10" x14ac:dyDescent="0.45">
      <c r="A224" t="s">
        <v>477</v>
      </c>
      <c r="B224" t="s">
        <v>478</v>
      </c>
      <c r="C224" t="s">
        <v>10</v>
      </c>
      <c r="D224">
        <v>49</v>
      </c>
      <c r="E224" t="s">
        <v>11</v>
      </c>
      <c r="F224">
        <v>4</v>
      </c>
      <c r="G224">
        <v>1200.32</v>
      </c>
      <c r="H224" t="s">
        <v>16</v>
      </c>
      <c r="I224" s="1">
        <v>44940</v>
      </c>
      <c r="J224" t="s">
        <v>24</v>
      </c>
    </row>
    <row r="225" spans="1:10" x14ac:dyDescent="0.45">
      <c r="A225" t="s">
        <v>479</v>
      </c>
      <c r="B225" t="s">
        <v>480</v>
      </c>
      <c r="C225" t="s">
        <v>10</v>
      </c>
      <c r="D225">
        <v>24</v>
      </c>
      <c r="E225" t="s">
        <v>15</v>
      </c>
      <c r="F225">
        <v>4</v>
      </c>
      <c r="G225">
        <v>2400.6799999999998</v>
      </c>
      <c r="H225" t="s">
        <v>12</v>
      </c>
      <c r="I225" s="1">
        <v>44983</v>
      </c>
      <c r="J225" t="s">
        <v>30</v>
      </c>
    </row>
    <row r="226" spans="1:10" x14ac:dyDescent="0.45">
      <c r="A226" t="s">
        <v>481</v>
      </c>
      <c r="B226" t="s">
        <v>482</v>
      </c>
      <c r="C226" t="s">
        <v>14</v>
      </c>
      <c r="D226">
        <v>18</v>
      </c>
      <c r="E226" t="s">
        <v>11</v>
      </c>
      <c r="F226">
        <v>2</v>
      </c>
      <c r="G226">
        <v>600.16</v>
      </c>
      <c r="H226" t="s">
        <v>18</v>
      </c>
      <c r="I226" s="1">
        <v>44985</v>
      </c>
      <c r="J226" t="s">
        <v>13</v>
      </c>
    </row>
    <row r="227" spans="1:10" x14ac:dyDescent="0.45">
      <c r="A227" t="s">
        <v>483</v>
      </c>
      <c r="B227" t="s">
        <v>484</v>
      </c>
      <c r="C227" t="s">
        <v>10</v>
      </c>
      <c r="D227">
        <v>49</v>
      </c>
      <c r="E227" t="s">
        <v>22</v>
      </c>
      <c r="F227">
        <v>1</v>
      </c>
      <c r="G227">
        <v>40.659999999999997</v>
      </c>
      <c r="H227" t="s">
        <v>18</v>
      </c>
      <c r="I227" s="1">
        <v>44950</v>
      </c>
      <c r="J227" t="s">
        <v>24</v>
      </c>
    </row>
    <row r="228" spans="1:10" x14ac:dyDescent="0.45">
      <c r="A228" t="s">
        <v>485</v>
      </c>
      <c r="B228" t="s">
        <v>486</v>
      </c>
      <c r="C228" t="s">
        <v>14</v>
      </c>
      <c r="D228">
        <v>65</v>
      </c>
      <c r="E228" t="s">
        <v>44</v>
      </c>
      <c r="F228">
        <v>2</v>
      </c>
      <c r="G228">
        <v>23.46</v>
      </c>
      <c r="H228" t="s">
        <v>18</v>
      </c>
      <c r="I228" s="1">
        <v>44981</v>
      </c>
      <c r="J228" t="s">
        <v>28</v>
      </c>
    </row>
    <row r="229" spans="1:10" x14ac:dyDescent="0.45">
      <c r="A229" t="s">
        <v>487</v>
      </c>
      <c r="B229" t="s">
        <v>488</v>
      </c>
      <c r="C229" t="s">
        <v>14</v>
      </c>
      <c r="D229">
        <v>33</v>
      </c>
      <c r="E229" t="s">
        <v>21</v>
      </c>
      <c r="F229">
        <v>4</v>
      </c>
      <c r="G229">
        <v>60.6</v>
      </c>
      <c r="H229" t="s">
        <v>18</v>
      </c>
      <c r="I229" s="1">
        <v>44947</v>
      </c>
      <c r="J229" t="s">
        <v>24</v>
      </c>
    </row>
    <row r="230" spans="1:10" x14ac:dyDescent="0.45">
      <c r="A230" t="s">
        <v>489</v>
      </c>
      <c r="B230" t="s">
        <v>490</v>
      </c>
      <c r="C230" t="s">
        <v>10</v>
      </c>
      <c r="D230">
        <v>40</v>
      </c>
      <c r="E230" t="s">
        <v>11</v>
      </c>
      <c r="F230">
        <v>2</v>
      </c>
      <c r="G230">
        <v>600.16</v>
      </c>
      <c r="H230" t="s">
        <v>16</v>
      </c>
      <c r="I230" s="1">
        <v>44959</v>
      </c>
      <c r="J230" t="s">
        <v>24</v>
      </c>
    </row>
    <row r="231" spans="1:10" x14ac:dyDescent="0.45">
      <c r="A231" t="s">
        <v>491</v>
      </c>
      <c r="B231" t="s">
        <v>492</v>
      </c>
      <c r="C231" t="s">
        <v>14</v>
      </c>
      <c r="D231">
        <v>47</v>
      </c>
      <c r="E231" t="s">
        <v>22</v>
      </c>
      <c r="F231">
        <v>4</v>
      </c>
      <c r="G231">
        <v>162.63999999999999</v>
      </c>
      <c r="H231" t="s">
        <v>12</v>
      </c>
      <c r="I231" s="1">
        <v>44961</v>
      </c>
      <c r="J231" t="s">
        <v>23</v>
      </c>
    </row>
    <row r="232" spans="1:10" x14ac:dyDescent="0.45">
      <c r="A232" t="s">
        <v>493</v>
      </c>
      <c r="B232" t="s">
        <v>494</v>
      </c>
      <c r="C232" t="s">
        <v>10</v>
      </c>
      <c r="D232">
        <v>27</v>
      </c>
      <c r="E232" t="s">
        <v>25</v>
      </c>
      <c r="F232">
        <v>5</v>
      </c>
      <c r="G232">
        <v>26.15</v>
      </c>
      <c r="H232" t="s">
        <v>12</v>
      </c>
      <c r="I232" s="1">
        <v>44935</v>
      </c>
      <c r="J232" t="s">
        <v>13</v>
      </c>
    </row>
    <row r="233" spans="1:10" x14ac:dyDescent="0.45">
      <c r="A233" t="s">
        <v>495</v>
      </c>
      <c r="B233" t="s">
        <v>496</v>
      </c>
      <c r="C233" t="s">
        <v>10</v>
      </c>
      <c r="D233">
        <v>60</v>
      </c>
      <c r="E233" t="s">
        <v>11</v>
      </c>
      <c r="F233">
        <v>3</v>
      </c>
      <c r="G233">
        <v>900.24</v>
      </c>
      <c r="H233" t="s">
        <v>16</v>
      </c>
      <c r="I233" s="1">
        <v>44929</v>
      </c>
      <c r="J233" t="s">
        <v>19</v>
      </c>
    </row>
    <row r="234" spans="1:10" x14ac:dyDescent="0.45">
      <c r="A234" t="s">
        <v>497</v>
      </c>
      <c r="B234" t="s">
        <v>498</v>
      </c>
      <c r="C234" t="s">
        <v>10</v>
      </c>
      <c r="D234">
        <v>41</v>
      </c>
      <c r="E234" t="s">
        <v>11</v>
      </c>
      <c r="F234">
        <v>1</v>
      </c>
      <c r="G234">
        <v>300.08</v>
      </c>
      <c r="H234" t="s">
        <v>12</v>
      </c>
      <c r="I234" s="1">
        <v>44974</v>
      </c>
      <c r="J234" t="s">
        <v>13</v>
      </c>
    </row>
    <row r="235" spans="1:10" x14ac:dyDescent="0.45">
      <c r="A235" t="s">
        <v>499</v>
      </c>
      <c r="B235" t="s">
        <v>500</v>
      </c>
      <c r="C235" t="s">
        <v>10</v>
      </c>
      <c r="D235">
        <v>42</v>
      </c>
      <c r="E235" t="s">
        <v>44</v>
      </c>
      <c r="F235">
        <v>1</v>
      </c>
      <c r="G235">
        <v>11.73</v>
      </c>
      <c r="H235" t="s">
        <v>16</v>
      </c>
      <c r="I235" s="1">
        <v>44953</v>
      </c>
      <c r="J235" t="s">
        <v>13</v>
      </c>
    </row>
    <row r="236" spans="1:10" x14ac:dyDescent="0.45">
      <c r="A236" t="s">
        <v>501</v>
      </c>
      <c r="B236" t="s">
        <v>502</v>
      </c>
      <c r="C236" t="s">
        <v>14</v>
      </c>
      <c r="D236">
        <v>48</v>
      </c>
      <c r="E236" t="s">
        <v>11</v>
      </c>
      <c r="F236">
        <v>5</v>
      </c>
      <c r="G236">
        <v>1500.4</v>
      </c>
      <c r="H236" t="s">
        <v>12</v>
      </c>
      <c r="I236" s="1">
        <v>44949</v>
      </c>
      <c r="J236" t="s">
        <v>20</v>
      </c>
    </row>
    <row r="237" spans="1:10" x14ac:dyDescent="0.45">
      <c r="A237" t="s">
        <v>503</v>
      </c>
      <c r="B237" t="s">
        <v>504</v>
      </c>
      <c r="C237" t="s">
        <v>10</v>
      </c>
      <c r="D237">
        <v>23</v>
      </c>
      <c r="E237" t="s">
        <v>11</v>
      </c>
      <c r="F237">
        <v>5</v>
      </c>
      <c r="G237">
        <v>1500.4</v>
      </c>
      <c r="H237" t="s">
        <v>12</v>
      </c>
      <c r="I237" s="1">
        <v>44987</v>
      </c>
      <c r="J237" t="s">
        <v>19</v>
      </c>
    </row>
    <row r="238" spans="1:10" x14ac:dyDescent="0.45">
      <c r="A238" t="s">
        <v>505</v>
      </c>
      <c r="B238" t="s">
        <v>506</v>
      </c>
      <c r="C238" t="s">
        <v>10</v>
      </c>
      <c r="D238">
        <v>42</v>
      </c>
      <c r="E238" t="s">
        <v>21</v>
      </c>
      <c r="F238">
        <v>4</v>
      </c>
      <c r="G238">
        <v>60.6</v>
      </c>
      <c r="H238" t="s">
        <v>12</v>
      </c>
      <c r="I238" s="1">
        <v>44969</v>
      </c>
      <c r="J238" t="s">
        <v>20</v>
      </c>
    </row>
    <row r="239" spans="1:10" x14ac:dyDescent="0.45">
      <c r="A239" t="s">
        <v>507</v>
      </c>
      <c r="B239" t="s">
        <v>508</v>
      </c>
      <c r="C239" t="s">
        <v>10</v>
      </c>
      <c r="D239">
        <v>38</v>
      </c>
      <c r="E239" t="s">
        <v>22</v>
      </c>
      <c r="F239">
        <v>1</v>
      </c>
      <c r="G239">
        <v>40.659999999999997</v>
      </c>
      <c r="H239" t="s">
        <v>18</v>
      </c>
      <c r="I239" s="1">
        <v>44993</v>
      </c>
      <c r="J239" t="s">
        <v>30</v>
      </c>
    </row>
    <row r="240" spans="1:10" x14ac:dyDescent="0.45">
      <c r="A240" t="s">
        <v>509</v>
      </c>
      <c r="B240" t="s">
        <v>510</v>
      </c>
      <c r="C240" t="s">
        <v>10</v>
      </c>
      <c r="D240">
        <v>58</v>
      </c>
      <c r="E240" t="s">
        <v>25</v>
      </c>
      <c r="F240">
        <v>4</v>
      </c>
      <c r="G240">
        <v>20.92</v>
      </c>
      <c r="H240" t="s">
        <v>18</v>
      </c>
      <c r="I240" s="1">
        <v>44941</v>
      </c>
      <c r="J240" t="s">
        <v>13</v>
      </c>
    </row>
    <row r="241" spans="1:10" x14ac:dyDescent="0.45">
      <c r="A241" t="s">
        <v>511</v>
      </c>
      <c r="B241" t="s">
        <v>512</v>
      </c>
      <c r="C241" t="s">
        <v>14</v>
      </c>
      <c r="D241">
        <v>37</v>
      </c>
      <c r="E241" t="s">
        <v>25</v>
      </c>
      <c r="F241">
        <v>5</v>
      </c>
      <c r="G241">
        <v>26.15</v>
      </c>
      <c r="H241" t="s">
        <v>12</v>
      </c>
      <c r="I241" s="1">
        <v>44973</v>
      </c>
      <c r="J241" t="s">
        <v>19</v>
      </c>
    </row>
    <row r="242" spans="1:10" x14ac:dyDescent="0.45">
      <c r="A242" t="s">
        <v>513</v>
      </c>
      <c r="B242" t="s">
        <v>514</v>
      </c>
      <c r="C242" t="s">
        <v>10</v>
      </c>
      <c r="D242">
        <v>43</v>
      </c>
      <c r="E242" t="s">
        <v>11</v>
      </c>
      <c r="F242">
        <v>2</v>
      </c>
      <c r="G242">
        <v>600.16</v>
      </c>
      <c r="H242" t="s">
        <v>18</v>
      </c>
      <c r="I242" s="1">
        <v>44985</v>
      </c>
      <c r="J242" t="s">
        <v>13</v>
      </c>
    </row>
    <row r="243" spans="1:10" x14ac:dyDescent="0.45">
      <c r="A243" t="s">
        <v>515</v>
      </c>
      <c r="B243" t="s">
        <v>516</v>
      </c>
      <c r="C243" t="s">
        <v>14</v>
      </c>
      <c r="D243">
        <v>54</v>
      </c>
      <c r="E243" t="s">
        <v>11</v>
      </c>
      <c r="F243">
        <v>2</v>
      </c>
      <c r="G243">
        <v>600.16</v>
      </c>
      <c r="H243" t="s">
        <v>18</v>
      </c>
      <c r="I243" s="1">
        <v>44928</v>
      </c>
      <c r="J243" t="s">
        <v>24</v>
      </c>
    </row>
    <row r="244" spans="1:10" x14ac:dyDescent="0.45">
      <c r="A244" t="s">
        <v>517</v>
      </c>
      <c r="B244" t="s">
        <v>518</v>
      </c>
      <c r="C244" t="s">
        <v>10</v>
      </c>
      <c r="D244">
        <v>31</v>
      </c>
      <c r="E244" t="s">
        <v>11</v>
      </c>
      <c r="F244">
        <v>2</v>
      </c>
      <c r="G244">
        <v>600.16</v>
      </c>
      <c r="H244" t="s">
        <v>12</v>
      </c>
      <c r="I244" s="1">
        <v>44981</v>
      </c>
      <c r="J244" t="s">
        <v>20</v>
      </c>
    </row>
    <row r="245" spans="1:10" x14ac:dyDescent="0.45">
      <c r="A245" t="s">
        <v>519</v>
      </c>
      <c r="B245" t="s">
        <v>520</v>
      </c>
      <c r="C245" t="s">
        <v>10</v>
      </c>
      <c r="D245">
        <v>30</v>
      </c>
      <c r="E245" t="s">
        <v>44</v>
      </c>
      <c r="F245">
        <v>4</v>
      </c>
      <c r="G245">
        <v>46.92</v>
      </c>
      <c r="H245" t="s">
        <v>12</v>
      </c>
      <c r="I245" s="1">
        <v>44989</v>
      </c>
      <c r="J245" t="s">
        <v>13</v>
      </c>
    </row>
    <row r="246" spans="1:10" x14ac:dyDescent="0.45">
      <c r="A246" t="s">
        <v>521</v>
      </c>
      <c r="B246" t="s">
        <v>522</v>
      </c>
      <c r="C246" t="s">
        <v>14</v>
      </c>
      <c r="D246">
        <v>24</v>
      </c>
      <c r="E246" t="s">
        <v>11</v>
      </c>
      <c r="F246">
        <v>4</v>
      </c>
      <c r="G246">
        <v>1200.32</v>
      </c>
      <c r="H246" t="s">
        <v>18</v>
      </c>
      <c r="I246" s="1">
        <v>44975</v>
      </c>
      <c r="J246" t="s">
        <v>20</v>
      </c>
    </row>
    <row r="247" spans="1:10" x14ac:dyDescent="0.45">
      <c r="A247" t="s">
        <v>523</v>
      </c>
      <c r="B247" t="s">
        <v>524</v>
      </c>
      <c r="C247" t="s">
        <v>14</v>
      </c>
      <c r="D247">
        <v>55</v>
      </c>
      <c r="E247" t="s">
        <v>11</v>
      </c>
      <c r="F247">
        <v>2</v>
      </c>
      <c r="G247">
        <v>600.16</v>
      </c>
      <c r="H247" t="s">
        <v>12</v>
      </c>
      <c r="I247" s="1">
        <v>44980</v>
      </c>
      <c r="J247" t="s">
        <v>20</v>
      </c>
    </row>
    <row r="248" spans="1:10" x14ac:dyDescent="0.45">
      <c r="A248" t="s">
        <v>525</v>
      </c>
      <c r="B248" t="s">
        <v>526</v>
      </c>
      <c r="C248" t="s">
        <v>10</v>
      </c>
      <c r="D248">
        <v>40</v>
      </c>
      <c r="E248" t="s">
        <v>25</v>
      </c>
      <c r="F248">
        <v>3</v>
      </c>
      <c r="G248">
        <v>15.69</v>
      </c>
      <c r="H248" t="s">
        <v>12</v>
      </c>
      <c r="I248" s="1">
        <v>44966</v>
      </c>
      <c r="J248" t="s">
        <v>13</v>
      </c>
    </row>
    <row r="249" spans="1:10" x14ac:dyDescent="0.45">
      <c r="A249" t="s">
        <v>527</v>
      </c>
      <c r="B249" t="s">
        <v>528</v>
      </c>
      <c r="C249" t="s">
        <v>10</v>
      </c>
      <c r="D249">
        <v>33</v>
      </c>
      <c r="E249" t="s">
        <v>11</v>
      </c>
      <c r="F249">
        <v>5</v>
      </c>
      <c r="G249">
        <v>1500.4</v>
      </c>
      <c r="H249" t="s">
        <v>12</v>
      </c>
      <c r="I249" s="1">
        <v>44964</v>
      </c>
      <c r="J249" t="s">
        <v>23</v>
      </c>
    </row>
    <row r="250" spans="1:10" x14ac:dyDescent="0.45">
      <c r="A250" t="s">
        <v>529</v>
      </c>
      <c r="B250" t="s">
        <v>530</v>
      </c>
      <c r="C250" t="s">
        <v>10</v>
      </c>
      <c r="D250">
        <v>68</v>
      </c>
      <c r="E250" t="s">
        <v>11</v>
      </c>
      <c r="F250">
        <v>5</v>
      </c>
      <c r="G250">
        <v>1500.4</v>
      </c>
      <c r="H250" t="s">
        <v>12</v>
      </c>
      <c r="I250" s="1">
        <v>44957</v>
      </c>
      <c r="J250" t="s">
        <v>13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250"/>
  <sheetViews>
    <sheetView workbookViewId="0">
      <pane ySplit="1" topLeftCell="A2" activePane="bottomLeft" state="frozen"/>
      <selection pane="bottomLeft" activeCell="H16" sqref="H16"/>
    </sheetView>
  </sheetViews>
  <sheetFormatPr defaultRowHeight="14.25" x14ac:dyDescent="0.45"/>
  <cols>
    <col min="1" max="1" width="11.46484375" style="3" customWidth="1"/>
    <col min="2" max="2" width="12.73046875" style="3" customWidth="1"/>
    <col min="3" max="3" width="9.06640625" style="3"/>
    <col min="4" max="4" width="9.06640625" style="6"/>
    <col min="5" max="5" width="9.59765625" style="3" customWidth="1"/>
    <col min="6" max="6" width="9.46484375" style="3" customWidth="1"/>
    <col min="7" max="7" width="9.86328125" style="5" bestFit="1" customWidth="1"/>
    <col min="8" max="8" width="17.265625" style="3" customWidth="1"/>
    <col min="9" max="9" width="13" style="4" customWidth="1"/>
    <col min="10" max="10" width="19.796875" style="3" customWidth="1"/>
    <col min="11" max="11" width="11.265625" style="3" customWidth="1"/>
    <col min="12" max="12" width="9.06640625" style="3"/>
    <col min="13" max="13" width="11.73046875" style="3" customWidth="1"/>
    <col min="14" max="16384" width="9.06640625" style="3"/>
  </cols>
  <sheetData>
    <row r="1" spans="1:15" x14ac:dyDescent="0.45">
      <c r="A1" s="11" t="s">
        <v>0</v>
      </c>
      <c r="B1" s="12" t="s">
        <v>1</v>
      </c>
      <c r="C1" s="12" t="s">
        <v>2</v>
      </c>
      <c r="D1" s="13" t="s">
        <v>3</v>
      </c>
      <c r="E1" s="12" t="s">
        <v>4</v>
      </c>
      <c r="F1" s="12" t="s">
        <v>5</v>
      </c>
      <c r="G1" s="14" t="s">
        <v>6</v>
      </c>
      <c r="H1" s="12" t="s">
        <v>7</v>
      </c>
      <c r="I1" s="15" t="s">
        <v>8</v>
      </c>
      <c r="J1" s="12" t="s">
        <v>9</v>
      </c>
      <c r="K1" s="16" t="s">
        <v>531</v>
      </c>
      <c r="L1" s="12" t="s">
        <v>550</v>
      </c>
    </row>
    <row r="2" spans="1:15" ht="14.65" thickBot="1" x14ac:dyDescent="0.5">
      <c r="A2" s="9" t="s">
        <v>36</v>
      </c>
      <c r="B2" s="3" t="s">
        <v>37</v>
      </c>
      <c r="C2" s="3" t="s">
        <v>14</v>
      </c>
      <c r="D2" s="6">
        <v>68</v>
      </c>
      <c r="E2" s="3" t="s">
        <v>25</v>
      </c>
      <c r="F2" s="3">
        <v>1</v>
      </c>
      <c r="G2" s="5">
        <v>5.23</v>
      </c>
      <c r="H2" s="3" t="s">
        <v>12</v>
      </c>
      <c r="I2" s="4">
        <v>44930</v>
      </c>
      <c r="J2" s="3" t="s">
        <v>26</v>
      </c>
      <c r="K2" s="10">
        <f t="shared" ref="K2:K65" si="0">F2*G2</f>
        <v>5.23</v>
      </c>
      <c r="L2" s="25" t="str">
        <f t="shared" ref="L2:L65" si="1">IF(AND(D2&gt;=65,D2&lt;=69),"65-69",IF(AND(D2&gt;=55,D2&lt;=64),"55-64",IF(AND(D2&gt;=45,D2&lt;= 54),"45-54", IF(AND(D2&gt;=35,D2&lt;=44),"35-44", IF(AND(D2&gt;=25,D2&lt;=34),"25-34",IF(AND(D2&gt;=18,D2&lt;=24),"18-24","invalid"))))))</f>
        <v>65-69</v>
      </c>
    </row>
    <row r="3" spans="1:15" x14ac:dyDescent="0.45">
      <c r="A3" s="9" t="s">
        <v>45</v>
      </c>
      <c r="B3" s="3" t="s">
        <v>46</v>
      </c>
      <c r="C3" s="3" t="s">
        <v>14</v>
      </c>
      <c r="D3" s="6">
        <v>67</v>
      </c>
      <c r="E3" s="3" t="s">
        <v>27</v>
      </c>
      <c r="F3" s="3">
        <v>3</v>
      </c>
      <c r="G3" s="5">
        <v>107.52</v>
      </c>
      <c r="H3" s="3" t="s">
        <v>18</v>
      </c>
      <c r="I3" s="4">
        <v>44933</v>
      </c>
      <c r="J3" s="3" t="s">
        <v>26</v>
      </c>
      <c r="K3" s="10">
        <f t="shared" si="0"/>
        <v>322.56</v>
      </c>
      <c r="L3" s="25" t="str">
        <f t="shared" si="1"/>
        <v>65-69</v>
      </c>
      <c r="N3" s="8" t="s">
        <v>3</v>
      </c>
      <c r="O3" s="8"/>
    </row>
    <row r="4" spans="1:15" x14ac:dyDescent="0.45">
      <c r="A4" s="9" t="s">
        <v>49</v>
      </c>
      <c r="B4" s="3" t="s">
        <v>50</v>
      </c>
      <c r="C4" s="3" t="s">
        <v>14</v>
      </c>
      <c r="D4" s="6">
        <v>65</v>
      </c>
      <c r="E4" s="3" t="s">
        <v>11</v>
      </c>
      <c r="F4" s="3">
        <v>4</v>
      </c>
      <c r="G4" s="5">
        <v>1200.32</v>
      </c>
      <c r="H4" s="3" t="s">
        <v>16</v>
      </c>
      <c r="I4" s="4">
        <v>44948</v>
      </c>
      <c r="J4" s="3" t="s">
        <v>20</v>
      </c>
      <c r="K4" s="10">
        <f t="shared" si="0"/>
        <v>4801.28</v>
      </c>
      <c r="L4" s="25" t="str">
        <f t="shared" si="1"/>
        <v>65-69</v>
      </c>
      <c r="N4"/>
      <c r="O4"/>
    </row>
    <row r="5" spans="1:15" x14ac:dyDescent="0.45">
      <c r="A5" s="9" t="s">
        <v>111</v>
      </c>
      <c r="B5" s="3" t="s">
        <v>112</v>
      </c>
      <c r="C5" s="3" t="s">
        <v>10</v>
      </c>
      <c r="D5" s="6">
        <v>66</v>
      </c>
      <c r="E5" s="3" t="s">
        <v>11</v>
      </c>
      <c r="F5" s="3">
        <v>1</v>
      </c>
      <c r="G5" s="5">
        <v>300.08</v>
      </c>
      <c r="H5" s="3" t="s">
        <v>18</v>
      </c>
      <c r="I5" s="4">
        <v>44933</v>
      </c>
      <c r="J5" s="3" t="s">
        <v>19</v>
      </c>
      <c r="K5" s="10">
        <f t="shared" si="0"/>
        <v>300.08</v>
      </c>
      <c r="L5" s="25" t="str">
        <f t="shared" si="1"/>
        <v>65-69</v>
      </c>
      <c r="N5" t="s">
        <v>532</v>
      </c>
      <c r="O5">
        <v>43.871485943775099</v>
      </c>
    </row>
    <row r="6" spans="1:15" x14ac:dyDescent="0.45">
      <c r="A6" s="9" t="s">
        <v>135</v>
      </c>
      <c r="B6" s="3" t="s">
        <v>136</v>
      </c>
      <c r="C6" s="3" t="s">
        <v>10</v>
      </c>
      <c r="D6" s="6">
        <v>65</v>
      </c>
      <c r="E6" s="3" t="s">
        <v>25</v>
      </c>
      <c r="F6" s="3">
        <v>3</v>
      </c>
      <c r="G6" s="5">
        <v>15.69</v>
      </c>
      <c r="H6" s="3" t="s">
        <v>12</v>
      </c>
      <c r="I6" s="4">
        <v>44967</v>
      </c>
      <c r="J6" s="3" t="s">
        <v>23</v>
      </c>
      <c r="K6" s="10">
        <f t="shared" si="0"/>
        <v>47.07</v>
      </c>
      <c r="L6" s="25" t="str">
        <f t="shared" si="1"/>
        <v>65-69</v>
      </c>
      <c r="N6" t="s">
        <v>533</v>
      </c>
      <c r="O6">
        <v>0.93741076830775294</v>
      </c>
    </row>
    <row r="7" spans="1:15" x14ac:dyDescent="0.45">
      <c r="A7" s="9" t="s">
        <v>179</v>
      </c>
      <c r="B7" s="3" t="s">
        <v>180</v>
      </c>
      <c r="C7" s="3" t="s">
        <v>14</v>
      </c>
      <c r="D7" s="6">
        <v>67</v>
      </c>
      <c r="E7" s="3" t="s">
        <v>21</v>
      </c>
      <c r="F7" s="3">
        <v>5</v>
      </c>
      <c r="G7" s="5">
        <v>75.75</v>
      </c>
      <c r="H7" s="3" t="s">
        <v>18</v>
      </c>
      <c r="I7" s="4">
        <v>44938</v>
      </c>
      <c r="J7" s="3" t="s">
        <v>13</v>
      </c>
      <c r="K7" s="10">
        <f t="shared" si="0"/>
        <v>378.75</v>
      </c>
      <c r="L7" s="25" t="str">
        <f t="shared" si="1"/>
        <v>65-69</v>
      </c>
      <c r="N7" t="s">
        <v>534</v>
      </c>
      <c r="O7">
        <v>42</v>
      </c>
    </row>
    <row r="8" spans="1:15" x14ac:dyDescent="0.45">
      <c r="A8" s="9" t="s">
        <v>233</v>
      </c>
      <c r="B8" s="3" t="s">
        <v>234</v>
      </c>
      <c r="C8" s="3" t="s">
        <v>10</v>
      </c>
      <c r="D8" s="6">
        <v>68</v>
      </c>
      <c r="E8" s="3" t="s">
        <v>35</v>
      </c>
      <c r="F8" s="3">
        <v>4</v>
      </c>
      <c r="G8" s="5">
        <v>4200</v>
      </c>
      <c r="H8" s="3" t="s">
        <v>16</v>
      </c>
      <c r="I8" s="4">
        <v>44932</v>
      </c>
      <c r="J8" s="3" t="s">
        <v>26</v>
      </c>
      <c r="K8" s="10">
        <f t="shared" si="0"/>
        <v>16800</v>
      </c>
      <c r="L8" s="25" t="str">
        <f t="shared" si="1"/>
        <v>65-69</v>
      </c>
      <c r="N8" t="s">
        <v>535</v>
      </c>
      <c r="O8">
        <v>29</v>
      </c>
    </row>
    <row r="9" spans="1:15" x14ac:dyDescent="0.45">
      <c r="A9" s="9" t="s">
        <v>259</v>
      </c>
      <c r="B9" s="3" t="s">
        <v>260</v>
      </c>
      <c r="C9" s="3" t="s">
        <v>10</v>
      </c>
      <c r="D9" s="6">
        <v>68</v>
      </c>
      <c r="E9" s="3" t="s">
        <v>15</v>
      </c>
      <c r="F9" s="3">
        <v>2</v>
      </c>
      <c r="G9" s="5">
        <v>1200.3399999999999</v>
      </c>
      <c r="H9" s="3" t="s">
        <v>12</v>
      </c>
      <c r="I9" s="4">
        <v>44941</v>
      </c>
      <c r="J9" s="3" t="s">
        <v>19</v>
      </c>
      <c r="K9" s="10">
        <f t="shared" si="0"/>
        <v>2400.6799999999998</v>
      </c>
      <c r="L9" s="25" t="str">
        <f t="shared" si="1"/>
        <v>65-69</v>
      </c>
      <c r="N9" t="s">
        <v>536</v>
      </c>
      <c r="O9">
        <v>14.792092420827203</v>
      </c>
    </row>
    <row r="10" spans="1:15" x14ac:dyDescent="0.45">
      <c r="A10" s="9" t="s">
        <v>263</v>
      </c>
      <c r="B10" s="3" t="s">
        <v>264</v>
      </c>
      <c r="C10" s="3" t="s">
        <v>10</v>
      </c>
      <c r="D10" s="6">
        <v>68</v>
      </c>
      <c r="E10" s="3" t="s">
        <v>22</v>
      </c>
      <c r="F10" s="3">
        <v>4</v>
      </c>
      <c r="G10" s="5">
        <v>162.63999999999999</v>
      </c>
      <c r="H10" s="3" t="s">
        <v>12</v>
      </c>
      <c r="I10" s="4">
        <v>44977</v>
      </c>
      <c r="J10" s="3" t="s">
        <v>24</v>
      </c>
      <c r="K10" s="10">
        <f t="shared" si="0"/>
        <v>650.55999999999995</v>
      </c>
      <c r="L10" s="25" t="str">
        <f t="shared" si="1"/>
        <v>65-69</v>
      </c>
      <c r="N10" t="s">
        <v>537</v>
      </c>
      <c r="O10">
        <v>218.80599818629355</v>
      </c>
    </row>
    <row r="11" spans="1:15" x14ac:dyDescent="0.45">
      <c r="A11" s="9" t="s">
        <v>275</v>
      </c>
      <c r="B11" s="3" t="s">
        <v>276</v>
      </c>
      <c r="C11" s="3" t="s">
        <v>10</v>
      </c>
      <c r="D11" s="6">
        <v>69</v>
      </c>
      <c r="E11" s="3" t="s">
        <v>15</v>
      </c>
      <c r="F11" s="3">
        <v>4</v>
      </c>
      <c r="G11" s="5">
        <v>2400.6799999999998</v>
      </c>
      <c r="H11" s="3" t="s">
        <v>16</v>
      </c>
      <c r="I11" s="4">
        <v>44945</v>
      </c>
      <c r="J11" s="3" t="s">
        <v>20</v>
      </c>
      <c r="K11" s="10">
        <f t="shared" si="0"/>
        <v>9602.7199999999993</v>
      </c>
      <c r="L11" s="25" t="str">
        <f t="shared" si="1"/>
        <v>65-69</v>
      </c>
      <c r="N11" t="s">
        <v>538</v>
      </c>
      <c r="O11">
        <v>-1.129207446604467</v>
      </c>
    </row>
    <row r="12" spans="1:15" x14ac:dyDescent="0.45">
      <c r="A12" s="9" t="s">
        <v>279</v>
      </c>
      <c r="B12" s="3" t="s">
        <v>280</v>
      </c>
      <c r="C12" s="3" t="s">
        <v>10</v>
      </c>
      <c r="D12" s="6">
        <v>66</v>
      </c>
      <c r="E12" s="3" t="s">
        <v>25</v>
      </c>
      <c r="F12" s="3">
        <v>5</v>
      </c>
      <c r="G12" s="5">
        <v>26.15</v>
      </c>
      <c r="H12" s="3" t="s">
        <v>12</v>
      </c>
      <c r="I12" s="4">
        <v>44939</v>
      </c>
      <c r="J12" s="3" t="s">
        <v>24</v>
      </c>
      <c r="K12" s="10">
        <f t="shared" si="0"/>
        <v>130.75</v>
      </c>
      <c r="L12" s="25" t="str">
        <f t="shared" si="1"/>
        <v>65-69</v>
      </c>
      <c r="N12" t="s">
        <v>539</v>
      </c>
      <c r="O12">
        <v>3.9234360969377671E-2</v>
      </c>
    </row>
    <row r="13" spans="1:15" x14ac:dyDescent="0.45">
      <c r="A13" s="9" t="s">
        <v>285</v>
      </c>
      <c r="B13" s="3" t="s">
        <v>286</v>
      </c>
      <c r="C13" s="3" t="s">
        <v>10</v>
      </c>
      <c r="D13" s="6">
        <v>69</v>
      </c>
      <c r="E13" s="3" t="s">
        <v>44</v>
      </c>
      <c r="F13" s="3">
        <v>5</v>
      </c>
      <c r="G13" s="5">
        <v>58.65</v>
      </c>
      <c r="H13" s="3" t="s">
        <v>12</v>
      </c>
      <c r="I13" s="4">
        <v>44987</v>
      </c>
      <c r="J13" s="3" t="s">
        <v>24</v>
      </c>
      <c r="K13" s="10">
        <f t="shared" si="0"/>
        <v>293.25</v>
      </c>
      <c r="L13" s="25" t="str">
        <f t="shared" si="1"/>
        <v>65-69</v>
      </c>
      <c r="N13" t="s">
        <v>540</v>
      </c>
      <c r="O13">
        <v>51</v>
      </c>
    </row>
    <row r="14" spans="1:15" x14ac:dyDescent="0.45">
      <c r="A14" s="9" t="s">
        <v>287</v>
      </c>
      <c r="B14" s="3" t="s">
        <v>288</v>
      </c>
      <c r="C14" s="3" t="s">
        <v>14</v>
      </c>
      <c r="D14" s="6">
        <v>67</v>
      </c>
      <c r="E14" s="3" t="s">
        <v>44</v>
      </c>
      <c r="F14" s="3">
        <v>2</v>
      </c>
      <c r="G14" s="5">
        <v>23.46</v>
      </c>
      <c r="H14" s="3" t="s">
        <v>18</v>
      </c>
      <c r="I14" s="4">
        <v>44973</v>
      </c>
      <c r="J14" s="3" t="s">
        <v>26</v>
      </c>
      <c r="K14" s="10">
        <f t="shared" si="0"/>
        <v>46.92</v>
      </c>
      <c r="L14" s="25" t="str">
        <f t="shared" si="1"/>
        <v>65-69</v>
      </c>
      <c r="N14" t="s">
        <v>541</v>
      </c>
      <c r="O14">
        <v>18</v>
      </c>
    </row>
    <row r="15" spans="1:15" x14ac:dyDescent="0.45">
      <c r="A15" s="9" t="s">
        <v>297</v>
      </c>
      <c r="B15" s="3" t="s">
        <v>298</v>
      </c>
      <c r="C15" s="3" t="s">
        <v>10</v>
      </c>
      <c r="D15" s="6">
        <v>69</v>
      </c>
      <c r="E15" s="3" t="s">
        <v>11</v>
      </c>
      <c r="F15" s="3">
        <v>2</v>
      </c>
      <c r="G15" s="5">
        <v>600.16</v>
      </c>
      <c r="H15" s="3" t="s">
        <v>18</v>
      </c>
      <c r="I15" s="4">
        <v>44934</v>
      </c>
      <c r="J15" s="3" t="s">
        <v>20</v>
      </c>
      <c r="K15" s="10">
        <f t="shared" si="0"/>
        <v>1200.32</v>
      </c>
      <c r="L15" s="25" t="str">
        <f t="shared" si="1"/>
        <v>65-69</v>
      </c>
      <c r="N15" t="s">
        <v>542</v>
      </c>
      <c r="O15">
        <v>69</v>
      </c>
    </row>
    <row r="16" spans="1:15" x14ac:dyDescent="0.45">
      <c r="A16" s="9" t="s">
        <v>301</v>
      </c>
      <c r="B16" s="3" t="s">
        <v>302</v>
      </c>
      <c r="C16" s="3" t="s">
        <v>10</v>
      </c>
      <c r="D16" s="6">
        <v>69</v>
      </c>
      <c r="E16" s="3" t="s">
        <v>25</v>
      </c>
      <c r="F16" s="3">
        <v>5</v>
      </c>
      <c r="G16" s="5">
        <v>26.15</v>
      </c>
      <c r="H16" s="3" t="s">
        <v>12</v>
      </c>
      <c r="I16" s="4">
        <v>44955</v>
      </c>
      <c r="J16" s="3" t="s">
        <v>19</v>
      </c>
      <c r="K16" s="10">
        <f t="shared" si="0"/>
        <v>130.75</v>
      </c>
      <c r="L16" s="25" t="str">
        <f t="shared" si="1"/>
        <v>65-69</v>
      </c>
      <c r="N16" t="s">
        <v>543</v>
      </c>
      <c r="O16">
        <v>10924</v>
      </c>
    </row>
    <row r="17" spans="1:15" ht="14.65" thickBot="1" x14ac:dyDescent="0.5">
      <c r="A17" s="9" t="s">
        <v>351</v>
      </c>
      <c r="B17" s="3" t="s">
        <v>352</v>
      </c>
      <c r="C17" s="3" t="s">
        <v>10</v>
      </c>
      <c r="D17" s="6">
        <v>69</v>
      </c>
      <c r="E17" s="3" t="s">
        <v>35</v>
      </c>
      <c r="F17" s="3">
        <v>2</v>
      </c>
      <c r="G17" s="5">
        <v>2100</v>
      </c>
      <c r="H17" s="3" t="s">
        <v>18</v>
      </c>
      <c r="I17" s="4">
        <v>44977</v>
      </c>
      <c r="J17" s="3" t="s">
        <v>23</v>
      </c>
      <c r="K17" s="10">
        <f t="shared" si="0"/>
        <v>4200</v>
      </c>
      <c r="L17" s="25" t="str">
        <f t="shared" si="1"/>
        <v>65-69</v>
      </c>
      <c r="N17" s="7" t="s">
        <v>544</v>
      </c>
      <c r="O17" s="7">
        <v>249</v>
      </c>
    </row>
    <row r="18" spans="1:15" ht="14.65" thickBot="1" x14ac:dyDescent="0.5">
      <c r="A18" s="9" t="s">
        <v>393</v>
      </c>
      <c r="B18" s="3" t="s">
        <v>394</v>
      </c>
      <c r="C18" s="3" t="s">
        <v>10</v>
      </c>
      <c r="D18" s="6">
        <v>69</v>
      </c>
      <c r="E18" s="3" t="s">
        <v>11</v>
      </c>
      <c r="F18" s="3">
        <v>5</v>
      </c>
      <c r="G18" s="5">
        <v>1500.4</v>
      </c>
      <c r="H18" s="3" t="s">
        <v>12</v>
      </c>
      <c r="I18" s="4">
        <v>44973</v>
      </c>
      <c r="J18" s="3" t="s">
        <v>13</v>
      </c>
      <c r="K18" s="10">
        <f t="shared" si="0"/>
        <v>7502</v>
      </c>
      <c r="L18" s="25" t="str">
        <f t="shared" si="1"/>
        <v>65-69</v>
      </c>
    </row>
    <row r="19" spans="1:15" x14ac:dyDescent="0.45">
      <c r="A19" s="9" t="s">
        <v>401</v>
      </c>
      <c r="B19" s="3" t="s">
        <v>402</v>
      </c>
      <c r="C19" s="3" t="s">
        <v>10</v>
      </c>
      <c r="D19" s="6">
        <v>68</v>
      </c>
      <c r="E19" s="3" t="s">
        <v>11</v>
      </c>
      <c r="F19" s="3">
        <v>5</v>
      </c>
      <c r="G19" s="5">
        <v>1500.4</v>
      </c>
      <c r="H19" s="3" t="s">
        <v>12</v>
      </c>
      <c r="I19" s="4">
        <v>44984</v>
      </c>
      <c r="J19" s="3" t="s">
        <v>24</v>
      </c>
      <c r="K19" s="10">
        <f t="shared" si="0"/>
        <v>7502</v>
      </c>
      <c r="L19" s="25" t="str">
        <f t="shared" si="1"/>
        <v>65-69</v>
      </c>
      <c r="N19" s="8" t="s">
        <v>5</v>
      </c>
      <c r="O19" s="8"/>
    </row>
    <row r="20" spans="1:15" x14ac:dyDescent="0.45">
      <c r="A20" s="9" t="s">
        <v>405</v>
      </c>
      <c r="B20" s="3" t="s">
        <v>406</v>
      </c>
      <c r="C20" s="3" t="s">
        <v>10</v>
      </c>
      <c r="D20" s="6">
        <v>69</v>
      </c>
      <c r="E20" s="3" t="s">
        <v>11</v>
      </c>
      <c r="F20" s="3">
        <v>1</v>
      </c>
      <c r="G20" s="5">
        <v>300.08</v>
      </c>
      <c r="H20" s="3" t="s">
        <v>18</v>
      </c>
      <c r="I20" s="4">
        <v>44984</v>
      </c>
      <c r="J20" s="3" t="s">
        <v>13</v>
      </c>
      <c r="K20" s="10">
        <f t="shared" si="0"/>
        <v>300.08</v>
      </c>
      <c r="L20" s="25" t="str">
        <f t="shared" si="1"/>
        <v>65-69</v>
      </c>
      <c r="N20"/>
      <c r="O20"/>
    </row>
    <row r="21" spans="1:15" x14ac:dyDescent="0.45">
      <c r="A21" s="9" t="s">
        <v>407</v>
      </c>
      <c r="B21" s="3" t="s">
        <v>408</v>
      </c>
      <c r="C21" s="3" t="s">
        <v>14</v>
      </c>
      <c r="D21" s="6">
        <v>68</v>
      </c>
      <c r="E21" s="3" t="s">
        <v>11</v>
      </c>
      <c r="F21" s="3">
        <v>2</v>
      </c>
      <c r="G21" s="5">
        <v>600.16</v>
      </c>
      <c r="H21" s="3" t="s">
        <v>12</v>
      </c>
      <c r="I21" s="4">
        <v>44984</v>
      </c>
      <c r="J21" s="3" t="s">
        <v>13</v>
      </c>
      <c r="K21" s="10">
        <f t="shared" si="0"/>
        <v>1200.32</v>
      </c>
      <c r="L21" s="25" t="str">
        <f t="shared" si="1"/>
        <v>65-69</v>
      </c>
      <c r="N21" t="s">
        <v>532</v>
      </c>
      <c r="O21">
        <v>2.9759036144578315</v>
      </c>
    </row>
    <row r="22" spans="1:15" x14ac:dyDescent="0.45">
      <c r="A22" s="9" t="s">
        <v>427</v>
      </c>
      <c r="B22" s="3" t="s">
        <v>428</v>
      </c>
      <c r="C22" s="3" t="s">
        <v>10</v>
      </c>
      <c r="D22" s="6">
        <v>65</v>
      </c>
      <c r="E22" s="3" t="s">
        <v>35</v>
      </c>
      <c r="F22" s="3">
        <v>2</v>
      </c>
      <c r="G22" s="5">
        <v>2100</v>
      </c>
      <c r="H22" s="3" t="s">
        <v>12</v>
      </c>
      <c r="I22" s="4">
        <v>44943</v>
      </c>
      <c r="J22" s="3" t="s">
        <v>24</v>
      </c>
      <c r="K22" s="10">
        <f t="shared" si="0"/>
        <v>4200</v>
      </c>
      <c r="L22" s="25" t="str">
        <f t="shared" si="1"/>
        <v>65-69</v>
      </c>
      <c r="N22" t="s">
        <v>533</v>
      </c>
      <c r="O22">
        <v>8.9969786432093565E-2</v>
      </c>
    </row>
    <row r="23" spans="1:15" x14ac:dyDescent="0.45">
      <c r="A23" s="9" t="s">
        <v>443</v>
      </c>
      <c r="B23" s="3" t="s">
        <v>444</v>
      </c>
      <c r="C23" s="3" t="s">
        <v>14</v>
      </c>
      <c r="D23" s="6">
        <v>68</v>
      </c>
      <c r="E23" s="3" t="s">
        <v>11</v>
      </c>
      <c r="F23" s="3">
        <v>2</v>
      </c>
      <c r="G23" s="5">
        <v>600.16</v>
      </c>
      <c r="H23" s="3" t="s">
        <v>18</v>
      </c>
      <c r="I23" s="4">
        <v>44981</v>
      </c>
      <c r="J23" s="3" t="s">
        <v>20</v>
      </c>
      <c r="K23" s="10">
        <f t="shared" si="0"/>
        <v>1200.32</v>
      </c>
      <c r="L23" s="25" t="str">
        <f t="shared" si="1"/>
        <v>65-69</v>
      </c>
      <c r="N23" t="s">
        <v>534</v>
      </c>
      <c r="O23">
        <v>3</v>
      </c>
    </row>
    <row r="24" spans="1:15" x14ac:dyDescent="0.45">
      <c r="A24" s="9" t="s">
        <v>445</v>
      </c>
      <c r="B24" s="3" t="s">
        <v>446</v>
      </c>
      <c r="C24" s="3" t="s">
        <v>14</v>
      </c>
      <c r="D24" s="6">
        <v>67</v>
      </c>
      <c r="E24" s="3" t="s">
        <v>27</v>
      </c>
      <c r="F24" s="3">
        <v>2</v>
      </c>
      <c r="G24" s="5">
        <v>71.680000000000007</v>
      </c>
      <c r="H24" s="3" t="s">
        <v>18</v>
      </c>
      <c r="I24" s="4">
        <v>44927</v>
      </c>
      <c r="J24" s="3" t="s">
        <v>13</v>
      </c>
      <c r="K24" s="10">
        <f t="shared" si="0"/>
        <v>143.36000000000001</v>
      </c>
      <c r="L24" s="25" t="str">
        <f t="shared" si="1"/>
        <v>65-69</v>
      </c>
      <c r="N24" t="s">
        <v>535</v>
      </c>
      <c r="O24">
        <v>4</v>
      </c>
    </row>
    <row r="25" spans="1:15" x14ac:dyDescent="0.45">
      <c r="A25" s="9" t="s">
        <v>457</v>
      </c>
      <c r="B25" s="3" t="s">
        <v>458</v>
      </c>
      <c r="C25" s="3" t="s">
        <v>10</v>
      </c>
      <c r="D25" s="6">
        <v>66</v>
      </c>
      <c r="E25" s="3" t="s">
        <v>11</v>
      </c>
      <c r="F25" s="3">
        <v>4</v>
      </c>
      <c r="G25" s="5">
        <v>1200.32</v>
      </c>
      <c r="H25" s="3" t="s">
        <v>16</v>
      </c>
      <c r="I25" s="4">
        <v>44988</v>
      </c>
      <c r="J25" s="3" t="s">
        <v>19</v>
      </c>
      <c r="K25" s="10">
        <f t="shared" si="0"/>
        <v>4801.28</v>
      </c>
      <c r="L25" s="25" t="str">
        <f t="shared" si="1"/>
        <v>65-69</v>
      </c>
      <c r="N25" t="s">
        <v>536</v>
      </c>
      <c r="O25">
        <v>1.4196992833654933</v>
      </c>
    </row>
    <row r="26" spans="1:15" x14ac:dyDescent="0.45">
      <c r="A26" s="9" t="s">
        <v>485</v>
      </c>
      <c r="B26" s="3" t="s">
        <v>486</v>
      </c>
      <c r="C26" s="3" t="s">
        <v>14</v>
      </c>
      <c r="D26" s="6">
        <v>65</v>
      </c>
      <c r="E26" s="3" t="s">
        <v>44</v>
      </c>
      <c r="F26" s="3">
        <v>2</v>
      </c>
      <c r="G26" s="5">
        <v>23.46</v>
      </c>
      <c r="H26" s="3" t="s">
        <v>18</v>
      </c>
      <c r="I26" s="4">
        <v>44981</v>
      </c>
      <c r="J26" s="3" t="s">
        <v>28</v>
      </c>
      <c r="K26" s="10">
        <f t="shared" si="0"/>
        <v>46.92</v>
      </c>
      <c r="L26" s="25" t="str">
        <f t="shared" si="1"/>
        <v>65-69</v>
      </c>
      <c r="N26" t="s">
        <v>537</v>
      </c>
      <c r="O26">
        <v>2.0155460551884956</v>
      </c>
    </row>
    <row r="27" spans="1:15" x14ac:dyDescent="0.45">
      <c r="A27" s="9" t="s">
        <v>529</v>
      </c>
      <c r="B27" s="3" t="s">
        <v>530</v>
      </c>
      <c r="C27" s="3" t="s">
        <v>10</v>
      </c>
      <c r="D27" s="6">
        <v>68</v>
      </c>
      <c r="E27" s="3" t="s">
        <v>11</v>
      </c>
      <c r="F27" s="3">
        <v>5</v>
      </c>
      <c r="G27" s="5">
        <v>1500.4</v>
      </c>
      <c r="H27" s="3" t="s">
        <v>12</v>
      </c>
      <c r="I27" s="4">
        <v>44957</v>
      </c>
      <c r="J27" s="3" t="s">
        <v>13</v>
      </c>
      <c r="K27" s="10">
        <f t="shared" si="0"/>
        <v>7502</v>
      </c>
      <c r="L27" s="25" t="str">
        <f t="shared" si="1"/>
        <v>65-69</v>
      </c>
      <c r="N27" t="s">
        <v>538</v>
      </c>
      <c r="O27">
        <v>-1.3218968931136532</v>
      </c>
    </row>
    <row r="28" spans="1:15" x14ac:dyDescent="0.45">
      <c r="A28" s="9" t="s">
        <v>47</v>
      </c>
      <c r="B28" s="3" t="s">
        <v>48</v>
      </c>
      <c r="C28" s="3" t="s">
        <v>14</v>
      </c>
      <c r="D28" s="6">
        <v>60</v>
      </c>
      <c r="E28" s="3" t="s">
        <v>22</v>
      </c>
      <c r="F28" s="3">
        <v>4</v>
      </c>
      <c r="G28" s="5">
        <v>162.63999999999999</v>
      </c>
      <c r="H28" s="3" t="s">
        <v>12</v>
      </c>
      <c r="I28" s="4">
        <v>44932</v>
      </c>
      <c r="J28" s="3" t="s">
        <v>19</v>
      </c>
      <c r="K28" s="10">
        <f t="shared" si="0"/>
        <v>650.55999999999995</v>
      </c>
      <c r="L28" s="25" t="str">
        <f t="shared" si="1"/>
        <v>55-64</v>
      </c>
      <c r="N28" t="s">
        <v>539</v>
      </c>
      <c r="O28">
        <v>1.9548515197632984E-4</v>
      </c>
    </row>
    <row r="29" spans="1:15" x14ac:dyDescent="0.45">
      <c r="A29" s="9" t="s">
        <v>51</v>
      </c>
      <c r="B29" s="3" t="s">
        <v>52</v>
      </c>
      <c r="C29" s="3" t="s">
        <v>14</v>
      </c>
      <c r="D29" s="6">
        <v>55</v>
      </c>
      <c r="E29" s="3" t="s">
        <v>11</v>
      </c>
      <c r="F29" s="3">
        <v>4</v>
      </c>
      <c r="G29" s="5">
        <v>1200.32</v>
      </c>
      <c r="H29" s="3" t="s">
        <v>12</v>
      </c>
      <c r="I29" s="4">
        <v>44950</v>
      </c>
      <c r="J29" s="3" t="s">
        <v>13</v>
      </c>
      <c r="K29" s="10">
        <f t="shared" si="0"/>
        <v>4801.28</v>
      </c>
      <c r="L29" s="25" t="str">
        <f t="shared" si="1"/>
        <v>55-64</v>
      </c>
      <c r="N29" t="s">
        <v>540</v>
      </c>
      <c r="O29">
        <v>4</v>
      </c>
    </row>
    <row r="30" spans="1:15" x14ac:dyDescent="0.45">
      <c r="A30" s="9" t="s">
        <v>67</v>
      </c>
      <c r="B30" s="3" t="s">
        <v>68</v>
      </c>
      <c r="C30" s="3" t="s">
        <v>10</v>
      </c>
      <c r="D30" s="6">
        <v>56</v>
      </c>
      <c r="E30" s="3" t="s">
        <v>22</v>
      </c>
      <c r="F30" s="3">
        <v>1</v>
      </c>
      <c r="G30" s="5">
        <v>40.659999999999997</v>
      </c>
      <c r="H30" s="3" t="s">
        <v>12</v>
      </c>
      <c r="I30" s="4">
        <v>44980</v>
      </c>
      <c r="J30" s="3" t="s">
        <v>13</v>
      </c>
      <c r="K30" s="10">
        <f t="shared" si="0"/>
        <v>40.659999999999997</v>
      </c>
      <c r="L30" s="25" t="str">
        <f t="shared" si="1"/>
        <v>55-64</v>
      </c>
      <c r="N30" t="s">
        <v>541</v>
      </c>
      <c r="O30">
        <v>1</v>
      </c>
    </row>
    <row r="31" spans="1:15" x14ac:dyDescent="0.45">
      <c r="A31" s="9" t="s">
        <v>101</v>
      </c>
      <c r="B31" s="3" t="s">
        <v>102</v>
      </c>
      <c r="C31" s="3" t="s">
        <v>10</v>
      </c>
      <c r="D31" s="6">
        <v>63</v>
      </c>
      <c r="E31" s="3" t="s">
        <v>22</v>
      </c>
      <c r="F31" s="3">
        <v>5</v>
      </c>
      <c r="G31" s="5">
        <v>203.3</v>
      </c>
      <c r="H31" s="3" t="s">
        <v>12</v>
      </c>
      <c r="I31" s="4">
        <v>44970</v>
      </c>
      <c r="J31" s="3" t="s">
        <v>20</v>
      </c>
      <c r="K31" s="10">
        <f t="shared" si="0"/>
        <v>1016.5</v>
      </c>
      <c r="L31" s="25" t="str">
        <f t="shared" si="1"/>
        <v>55-64</v>
      </c>
      <c r="N31" t="s">
        <v>542</v>
      </c>
      <c r="O31">
        <v>5</v>
      </c>
    </row>
    <row r="32" spans="1:15" x14ac:dyDescent="0.45">
      <c r="A32" s="9" t="s">
        <v>113</v>
      </c>
      <c r="B32" s="3" t="s">
        <v>114</v>
      </c>
      <c r="C32" s="3" t="s">
        <v>14</v>
      </c>
      <c r="D32" s="6">
        <v>56</v>
      </c>
      <c r="E32" s="3" t="s">
        <v>11</v>
      </c>
      <c r="F32" s="3">
        <v>1</v>
      </c>
      <c r="G32" s="5">
        <v>300.08</v>
      </c>
      <c r="H32" s="3" t="s">
        <v>18</v>
      </c>
      <c r="I32" s="4">
        <v>44944</v>
      </c>
      <c r="J32" s="3" t="s">
        <v>13</v>
      </c>
      <c r="K32" s="10">
        <f t="shared" si="0"/>
        <v>300.08</v>
      </c>
      <c r="L32" s="25" t="str">
        <f t="shared" si="1"/>
        <v>55-64</v>
      </c>
      <c r="N32" t="s">
        <v>543</v>
      </c>
      <c r="O32">
        <v>741</v>
      </c>
    </row>
    <row r="33" spans="1:15" ht="14.65" thickBot="1" x14ac:dyDescent="0.5">
      <c r="A33" s="9" t="s">
        <v>119</v>
      </c>
      <c r="B33" s="3" t="s">
        <v>120</v>
      </c>
      <c r="C33" s="3" t="s">
        <v>10</v>
      </c>
      <c r="D33" s="6">
        <v>56</v>
      </c>
      <c r="E33" s="3" t="s">
        <v>22</v>
      </c>
      <c r="F33" s="3">
        <v>4</v>
      </c>
      <c r="G33" s="5">
        <v>162.63999999999999</v>
      </c>
      <c r="H33" s="3" t="s">
        <v>12</v>
      </c>
      <c r="I33" s="4">
        <v>44990</v>
      </c>
      <c r="J33" s="3" t="s">
        <v>13</v>
      </c>
      <c r="K33" s="10">
        <f t="shared" si="0"/>
        <v>650.55999999999995</v>
      </c>
      <c r="L33" s="25" t="str">
        <f t="shared" si="1"/>
        <v>55-64</v>
      </c>
      <c r="N33" s="7" t="s">
        <v>544</v>
      </c>
      <c r="O33" s="7">
        <v>249</v>
      </c>
    </row>
    <row r="34" spans="1:15" ht="14.65" thickBot="1" x14ac:dyDescent="0.5">
      <c r="A34" s="9" t="s">
        <v>121</v>
      </c>
      <c r="B34" s="3" t="s">
        <v>122</v>
      </c>
      <c r="C34" s="3" t="s">
        <v>10</v>
      </c>
      <c r="D34" s="6">
        <v>61</v>
      </c>
      <c r="E34" s="3" t="s">
        <v>15</v>
      </c>
      <c r="F34" s="3">
        <v>5</v>
      </c>
      <c r="G34" s="5">
        <v>3000.85</v>
      </c>
      <c r="H34" s="3" t="s">
        <v>16</v>
      </c>
      <c r="I34" s="4">
        <v>44928</v>
      </c>
      <c r="J34" s="3" t="s">
        <v>24</v>
      </c>
      <c r="K34" s="10">
        <f t="shared" si="0"/>
        <v>15004.25</v>
      </c>
      <c r="L34" s="25" t="str">
        <f t="shared" si="1"/>
        <v>55-64</v>
      </c>
    </row>
    <row r="35" spans="1:15" x14ac:dyDescent="0.45">
      <c r="A35" s="9" t="s">
        <v>151</v>
      </c>
      <c r="B35" s="3" t="s">
        <v>152</v>
      </c>
      <c r="C35" s="3" t="s">
        <v>10</v>
      </c>
      <c r="D35" s="6">
        <v>62</v>
      </c>
      <c r="E35" s="3" t="s">
        <v>22</v>
      </c>
      <c r="F35" s="3">
        <v>5</v>
      </c>
      <c r="G35" s="5">
        <v>203.3</v>
      </c>
      <c r="H35" s="3" t="s">
        <v>12</v>
      </c>
      <c r="I35" s="4">
        <v>44958</v>
      </c>
      <c r="J35" s="3" t="s">
        <v>17</v>
      </c>
      <c r="K35" s="10">
        <f t="shared" si="0"/>
        <v>1016.5</v>
      </c>
      <c r="L35" s="25" t="str">
        <f t="shared" si="1"/>
        <v>55-64</v>
      </c>
      <c r="N35" s="8" t="s">
        <v>6</v>
      </c>
      <c r="O35" s="8"/>
    </row>
    <row r="36" spans="1:15" x14ac:dyDescent="0.45">
      <c r="A36" s="9" t="s">
        <v>159</v>
      </c>
      <c r="B36" s="3" t="s">
        <v>160</v>
      </c>
      <c r="C36" s="3" t="s">
        <v>14</v>
      </c>
      <c r="D36" s="6">
        <v>58</v>
      </c>
      <c r="E36" s="3" t="s">
        <v>25</v>
      </c>
      <c r="F36" s="3">
        <v>1</v>
      </c>
      <c r="G36" s="5">
        <v>5.23</v>
      </c>
      <c r="H36" s="3" t="s">
        <v>16</v>
      </c>
      <c r="I36" s="4">
        <v>44955</v>
      </c>
      <c r="J36" s="3" t="s">
        <v>13</v>
      </c>
      <c r="K36" s="10">
        <f t="shared" si="0"/>
        <v>5.23</v>
      </c>
      <c r="L36" s="25" t="str">
        <f t="shared" si="1"/>
        <v>55-64</v>
      </c>
      <c r="N36"/>
      <c r="O36"/>
    </row>
    <row r="37" spans="1:15" x14ac:dyDescent="0.45">
      <c r="A37" s="9" t="s">
        <v>167</v>
      </c>
      <c r="B37" s="3" t="s">
        <v>168</v>
      </c>
      <c r="C37" s="3" t="s">
        <v>14</v>
      </c>
      <c r="D37" s="6">
        <v>60</v>
      </c>
      <c r="E37" s="3" t="s">
        <v>21</v>
      </c>
      <c r="F37" s="3">
        <v>5</v>
      </c>
      <c r="G37" s="5">
        <v>75.75</v>
      </c>
      <c r="H37" s="3" t="s">
        <v>12</v>
      </c>
      <c r="I37" s="4">
        <v>44943</v>
      </c>
      <c r="J37" s="3" t="s">
        <v>24</v>
      </c>
      <c r="K37" s="10">
        <f t="shared" si="0"/>
        <v>378.75</v>
      </c>
      <c r="L37" s="25" t="str">
        <f t="shared" si="1"/>
        <v>55-64</v>
      </c>
      <c r="N37" t="s">
        <v>532</v>
      </c>
      <c r="O37">
        <v>672.62389558232962</v>
      </c>
    </row>
    <row r="38" spans="1:15" x14ac:dyDescent="0.45">
      <c r="A38" s="9" t="s">
        <v>187</v>
      </c>
      <c r="B38" s="3" t="s">
        <v>188</v>
      </c>
      <c r="C38" s="3" t="s">
        <v>10</v>
      </c>
      <c r="D38" s="6">
        <v>62</v>
      </c>
      <c r="E38" s="3" t="s">
        <v>22</v>
      </c>
      <c r="F38" s="3">
        <v>2</v>
      </c>
      <c r="G38" s="5">
        <v>81.319999999999993</v>
      </c>
      <c r="H38" s="3" t="s">
        <v>12</v>
      </c>
      <c r="I38" s="4">
        <v>44978</v>
      </c>
      <c r="J38" s="3" t="s">
        <v>23</v>
      </c>
      <c r="K38" s="10">
        <f t="shared" si="0"/>
        <v>162.63999999999999</v>
      </c>
      <c r="L38" s="25" t="str">
        <f t="shared" si="1"/>
        <v>55-64</v>
      </c>
      <c r="N38" t="s">
        <v>533</v>
      </c>
      <c r="O38">
        <v>57.42844393633343</v>
      </c>
    </row>
    <row r="39" spans="1:15" x14ac:dyDescent="0.45">
      <c r="A39" s="9" t="s">
        <v>189</v>
      </c>
      <c r="B39" s="3" t="s">
        <v>190</v>
      </c>
      <c r="C39" s="3" t="s">
        <v>10</v>
      </c>
      <c r="D39" s="6">
        <v>55</v>
      </c>
      <c r="E39" s="3" t="s">
        <v>22</v>
      </c>
      <c r="F39" s="3">
        <v>1</v>
      </c>
      <c r="G39" s="5">
        <v>40.659999999999997</v>
      </c>
      <c r="H39" s="3" t="s">
        <v>12</v>
      </c>
      <c r="I39" s="4">
        <v>44941</v>
      </c>
      <c r="J39" s="3" t="s">
        <v>24</v>
      </c>
      <c r="K39" s="10">
        <f t="shared" si="0"/>
        <v>40.659999999999997</v>
      </c>
      <c r="L39" s="25" t="str">
        <f t="shared" si="1"/>
        <v>55-64</v>
      </c>
      <c r="N39" t="s">
        <v>534</v>
      </c>
      <c r="O39">
        <v>300.08</v>
      </c>
    </row>
    <row r="40" spans="1:15" x14ac:dyDescent="0.45">
      <c r="A40" s="9" t="s">
        <v>197</v>
      </c>
      <c r="B40" s="3" t="s">
        <v>198</v>
      </c>
      <c r="C40" s="3" t="s">
        <v>10</v>
      </c>
      <c r="D40" s="6">
        <v>63</v>
      </c>
      <c r="E40" s="3" t="s">
        <v>11</v>
      </c>
      <c r="F40" s="3">
        <v>2</v>
      </c>
      <c r="G40" s="5">
        <v>600.16</v>
      </c>
      <c r="H40" s="3" t="s">
        <v>12</v>
      </c>
      <c r="I40" s="4">
        <v>44970</v>
      </c>
      <c r="J40" s="3" t="s">
        <v>19</v>
      </c>
      <c r="K40" s="10">
        <f t="shared" si="0"/>
        <v>1200.32</v>
      </c>
      <c r="L40" s="25" t="str">
        <f t="shared" si="1"/>
        <v>55-64</v>
      </c>
      <c r="N40" t="s">
        <v>535</v>
      </c>
      <c r="O40">
        <v>300.08</v>
      </c>
    </row>
    <row r="41" spans="1:15" x14ac:dyDescent="0.45">
      <c r="A41" s="9" t="s">
        <v>199</v>
      </c>
      <c r="B41" s="3" t="s">
        <v>200</v>
      </c>
      <c r="C41" s="3" t="s">
        <v>10</v>
      </c>
      <c r="D41" s="6">
        <v>59</v>
      </c>
      <c r="E41" s="3" t="s">
        <v>25</v>
      </c>
      <c r="F41" s="3">
        <v>2</v>
      </c>
      <c r="G41" s="5">
        <v>10.46</v>
      </c>
      <c r="H41" s="3" t="s">
        <v>16</v>
      </c>
      <c r="I41" s="4">
        <v>44974</v>
      </c>
      <c r="J41" s="3" t="s">
        <v>13</v>
      </c>
      <c r="K41" s="10">
        <f t="shared" si="0"/>
        <v>20.92</v>
      </c>
      <c r="L41" s="25" t="str">
        <f t="shared" si="1"/>
        <v>55-64</v>
      </c>
      <c r="N41" t="s">
        <v>536</v>
      </c>
      <c r="O41">
        <v>906.20556004926345</v>
      </c>
    </row>
    <row r="42" spans="1:15" x14ac:dyDescent="0.45">
      <c r="A42" s="9" t="s">
        <v>209</v>
      </c>
      <c r="B42" s="3" t="s">
        <v>210</v>
      </c>
      <c r="C42" s="3" t="s">
        <v>10</v>
      </c>
      <c r="D42" s="6">
        <v>61</v>
      </c>
      <c r="E42" s="3" t="s">
        <v>22</v>
      </c>
      <c r="F42" s="3">
        <v>1</v>
      </c>
      <c r="G42" s="5">
        <v>40.659999999999997</v>
      </c>
      <c r="H42" s="3" t="s">
        <v>18</v>
      </c>
      <c r="I42" s="4">
        <v>44945</v>
      </c>
      <c r="J42" s="3" t="s">
        <v>17</v>
      </c>
      <c r="K42" s="10">
        <f t="shared" si="0"/>
        <v>40.659999999999997</v>
      </c>
      <c r="L42" s="25" t="str">
        <f t="shared" si="1"/>
        <v>55-64</v>
      </c>
      <c r="N42" t="s">
        <v>537</v>
      </c>
      <c r="O42">
        <v>821208.5170641992</v>
      </c>
    </row>
    <row r="43" spans="1:15" x14ac:dyDescent="0.45">
      <c r="A43" s="9" t="s">
        <v>211</v>
      </c>
      <c r="B43" s="3" t="s">
        <v>212</v>
      </c>
      <c r="C43" s="3" t="s">
        <v>14</v>
      </c>
      <c r="D43" s="6">
        <v>63</v>
      </c>
      <c r="E43" s="3" t="s">
        <v>11</v>
      </c>
      <c r="F43" s="3">
        <v>4</v>
      </c>
      <c r="G43" s="5">
        <v>1200.32</v>
      </c>
      <c r="H43" s="3" t="s">
        <v>18</v>
      </c>
      <c r="I43" s="4">
        <v>44987</v>
      </c>
      <c r="J43" s="3" t="s">
        <v>30</v>
      </c>
      <c r="K43" s="10">
        <f t="shared" si="0"/>
        <v>4801.28</v>
      </c>
      <c r="L43" s="25" t="str">
        <f t="shared" si="1"/>
        <v>55-64</v>
      </c>
      <c r="N43" t="s">
        <v>538</v>
      </c>
      <c r="O43">
        <v>7.2759094429599047</v>
      </c>
    </row>
    <row r="44" spans="1:15" x14ac:dyDescent="0.45">
      <c r="A44" s="9" t="s">
        <v>215</v>
      </c>
      <c r="B44" s="3" t="s">
        <v>216</v>
      </c>
      <c r="C44" s="3" t="s">
        <v>10</v>
      </c>
      <c r="D44" s="6">
        <v>60</v>
      </c>
      <c r="E44" s="3" t="s">
        <v>11</v>
      </c>
      <c r="F44" s="3">
        <v>4</v>
      </c>
      <c r="G44" s="5">
        <v>1200.32</v>
      </c>
      <c r="H44" s="3" t="s">
        <v>16</v>
      </c>
      <c r="I44" s="4">
        <v>44961</v>
      </c>
      <c r="J44" s="3" t="s">
        <v>19</v>
      </c>
      <c r="K44" s="10">
        <f t="shared" si="0"/>
        <v>4801.28</v>
      </c>
      <c r="L44" s="25" t="str">
        <f t="shared" si="1"/>
        <v>55-64</v>
      </c>
      <c r="N44" t="s">
        <v>539</v>
      </c>
      <c r="O44">
        <v>2.3855648458886685</v>
      </c>
    </row>
    <row r="45" spans="1:15" x14ac:dyDescent="0.45">
      <c r="A45" s="9" t="s">
        <v>217</v>
      </c>
      <c r="B45" s="3" t="s">
        <v>218</v>
      </c>
      <c r="C45" s="3" t="s">
        <v>14</v>
      </c>
      <c r="D45" s="6">
        <v>64</v>
      </c>
      <c r="E45" s="3" t="s">
        <v>11</v>
      </c>
      <c r="F45" s="3">
        <v>4</v>
      </c>
      <c r="G45" s="5">
        <v>1200.32</v>
      </c>
      <c r="H45" s="3" t="s">
        <v>18</v>
      </c>
      <c r="I45" s="4">
        <v>44992</v>
      </c>
      <c r="J45" s="3" t="s">
        <v>19</v>
      </c>
      <c r="K45" s="10">
        <f t="shared" si="0"/>
        <v>4801.28</v>
      </c>
      <c r="L45" s="25" t="str">
        <f t="shared" si="1"/>
        <v>55-64</v>
      </c>
      <c r="N45" t="s">
        <v>540</v>
      </c>
      <c r="O45">
        <v>5244.77</v>
      </c>
    </row>
    <row r="46" spans="1:15" x14ac:dyDescent="0.45">
      <c r="A46" s="9" t="s">
        <v>221</v>
      </c>
      <c r="B46" s="3" t="s">
        <v>222</v>
      </c>
      <c r="C46" s="3" t="s">
        <v>14</v>
      </c>
      <c r="D46" s="6">
        <v>64</v>
      </c>
      <c r="E46" s="3" t="s">
        <v>22</v>
      </c>
      <c r="F46" s="3">
        <v>5</v>
      </c>
      <c r="G46" s="5">
        <v>203.3</v>
      </c>
      <c r="H46" s="3" t="s">
        <v>18</v>
      </c>
      <c r="I46" s="4">
        <v>44963</v>
      </c>
      <c r="J46" s="3" t="s">
        <v>24</v>
      </c>
      <c r="K46" s="10">
        <f t="shared" si="0"/>
        <v>1016.5</v>
      </c>
      <c r="L46" s="25" t="str">
        <f t="shared" si="1"/>
        <v>55-64</v>
      </c>
      <c r="N46" t="s">
        <v>541</v>
      </c>
      <c r="O46">
        <v>5.23</v>
      </c>
    </row>
    <row r="47" spans="1:15" x14ac:dyDescent="0.45">
      <c r="A47" s="9" t="s">
        <v>227</v>
      </c>
      <c r="B47" s="3" t="s">
        <v>228</v>
      </c>
      <c r="C47" s="3" t="s">
        <v>14</v>
      </c>
      <c r="D47" s="6">
        <v>55</v>
      </c>
      <c r="E47" s="3" t="s">
        <v>22</v>
      </c>
      <c r="F47" s="3">
        <v>5</v>
      </c>
      <c r="G47" s="5">
        <v>203.3</v>
      </c>
      <c r="H47" s="3" t="s">
        <v>12</v>
      </c>
      <c r="I47" s="4">
        <v>44946</v>
      </c>
      <c r="J47" s="3" t="s">
        <v>19</v>
      </c>
      <c r="K47" s="10">
        <f t="shared" si="0"/>
        <v>1016.5</v>
      </c>
      <c r="L47" s="25" t="str">
        <f t="shared" si="1"/>
        <v>55-64</v>
      </c>
      <c r="N47" t="s">
        <v>542</v>
      </c>
      <c r="O47">
        <v>5250</v>
      </c>
    </row>
    <row r="48" spans="1:15" x14ac:dyDescent="0.45">
      <c r="A48" s="9" t="s">
        <v>229</v>
      </c>
      <c r="B48" s="3" t="s">
        <v>230</v>
      </c>
      <c r="C48" s="3" t="s">
        <v>10</v>
      </c>
      <c r="D48" s="6">
        <v>59</v>
      </c>
      <c r="E48" s="3" t="s">
        <v>11</v>
      </c>
      <c r="F48" s="3">
        <v>5</v>
      </c>
      <c r="G48" s="5">
        <v>1500.4</v>
      </c>
      <c r="H48" s="3" t="s">
        <v>16</v>
      </c>
      <c r="I48" s="4">
        <v>44945</v>
      </c>
      <c r="J48" s="3" t="s">
        <v>26</v>
      </c>
      <c r="K48" s="10">
        <f t="shared" si="0"/>
        <v>7502</v>
      </c>
      <c r="L48" s="25" t="str">
        <f t="shared" si="1"/>
        <v>55-64</v>
      </c>
      <c r="N48" t="s">
        <v>543</v>
      </c>
      <c r="O48">
        <v>167483.35000000006</v>
      </c>
    </row>
    <row r="49" spans="1:15" ht="14.65" thickBot="1" x14ac:dyDescent="0.5">
      <c r="A49" s="9" t="s">
        <v>251</v>
      </c>
      <c r="B49" s="3" t="s">
        <v>252</v>
      </c>
      <c r="C49" s="3" t="s">
        <v>14</v>
      </c>
      <c r="D49" s="6">
        <v>55</v>
      </c>
      <c r="E49" s="3" t="s">
        <v>25</v>
      </c>
      <c r="F49" s="3">
        <v>1</v>
      </c>
      <c r="G49" s="5">
        <v>5.23</v>
      </c>
      <c r="H49" s="3" t="s">
        <v>18</v>
      </c>
      <c r="I49" s="4">
        <v>44989</v>
      </c>
      <c r="J49" s="3" t="s">
        <v>19</v>
      </c>
      <c r="K49" s="10">
        <f t="shared" si="0"/>
        <v>5.23</v>
      </c>
      <c r="L49" s="25" t="str">
        <f t="shared" si="1"/>
        <v>55-64</v>
      </c>
      <c r="N49" s="7" t="s">
        <v>544</v>
      </c>
      <c r="O49" s="7">
        <v>249</v>
      </c>
    </row>
    <row r="50" spans="1:15" x14ac:dyDescent="0.45">
      <c r="A50" s="9" t="s">
        <v>261</v>
      </c>
      <c r="B50" s="3" t="s">
        <v>262</v>
      </c>
      <c r="C50" s="3" t="s">
        <v>10</v>
      </c>
      <c r="D50" s="6">
        <v>62</v>
      </c>
      <c r="E50" s="3" t="s">
        <v>15</v>
      </c>
      <c r="F50" s="3">
        <v>3</v>
      </c>
      <c r="G50" s="5">
        <v>1800.51</v>
      </c>
      <c r="H50" s="3" t="s">
        <v>16</v>
      </c>
      <c r="I50" s="4">
        <v>44975</v>
      </c>
      <c r="J50" s="3" t="s">
        <v>24</v>
      </c>
      <c r="K50" s="10">
        <f t="shared" si="0"/>
        <v>5401.53</v>
      </c>
      <c r="L50" s="25" t="str">
        <f t="shared" si="1"/>
        <v>55-64</v>
      </c>
    </row>
    <row r="51" spans="1:15" x14ac:dyDescent="0.45">
      <c r="A51" s="9" t="s">
        <v>299</v>
      </c>
      <c r="B51" s="3" t="s">
        <v>300</v>
      </c>
      <c r="C51" s="3" t="s">
        <v>10</v>
      </c>
      <c r="D51" s="6">
        <v>64</v>
      </c>
      <c r="E51" s="3" t="s">
        <v>11</v>
      </c>
      <c r="F51" s="3">
        <v>1</v>
      </c>
      <c r="G51" s="5">
        <v>300.08</v>
      </c>
      <c r="H51" s="3" t="s">
        <v>18</v>
      </c>
      <c r="I51" s="4">
        <v>44955</v>
      </c>
      <c r="J51" s="3" t="s">
        <v>19</v>
      </c>
      <c r="K51" s="10">
        <f t="shared" si="0"/>
        <v>300.08</v>
      </c>
      <c r="L51" s="25" t="str">
        <f t="shared" si="1"/>
        <v>55-64</v>
      </c>
    </row>
    <row r="52" spans="1:15" x14ac:dyDescent="0.45">
      <c r="A52" s="9" t="s">
        <v>303</v>
      </c>
      <c r="B52" s="3" t="s">
        <v>304</v>
      </c>
      <c r="C52" s="3" t="s">
        <v>14</v>
      </c>
      <c r="D52" s="6">
        <v>64</v>
      </c>
      <c r="E52" s="3" t="s">
        <v>25</v>
      </c>
      <c r="F52" s="3">
        <v>1</v>
      </c>
      <c r="G52" s="5">
        <v>5.23</v>
      </c>
      <c r="H52" s="3" t="s">
        <v>18</v>
      </c>
      <c r="I52" s="4">
        <v>44991</v>
      </c>
      <c r="J52" s="3" t="s">
        <v>29</v>
      </c>
      <c r="K52" s="10">
        <f t="shared" si="0"/>
        <v>5.23</v>
      </c>
      <c r="L52" s="25" t="str">
        <f t="shared" si="1"/>
        <v>55-64</v>
      </c>
    </row>
    <row r="53" spans="1:15" x14ac:dyDescent="0.45">
      <c r="A53" s="9" t="s">
        <v>315</v>
      </c>
      <c r="B53" s="3" t="s">
        <v>316</v>
      </c>
      <c r="C53" s="3" t="s">
        <v>10</v>
      </c>
      <c r="D53" s="6">
        <v>64</v>
      </c>
      <c r="E53" s="3" t="s">
        <v>11</v>
      </c>
      <c r="F53" s="3">
        <v>3</v>
      </c>
      <c r="G53" s="5">
        <v>900.24</v>
      </c>
      <c r="H53" s="3" t="s">
        <v>16</v>
      </c>
      <c r="I53" s="4">
        <v>44959</v>
      </c>
      <c r="J53" s="3" t="s">
        <v>24</v>
      </c>
      <c r="K53" s="10">
        <f t="shared" si="0"/>
        <v>2700.7200000000003</v>
      </c>
      <c r="L53" s="25" t="str">
        <f t="shared" si="1"/>
        <v>55-64</v>
      </c>
    </row>
    <row r="54" spans="1:15" x14ac:dyDescent="0.45">
      <c r="A54" s="9" t="s">
        <v>329</v>
      </c>
      <c r="B54" s="3" t="s">
        <v>330</v>
      </c>
      <c r="C54" s="3" t="s">
        <v>14</v>
      </c>
      <c r="D54" s="6">
        <v>55</v>
      </c>
      <c r="E54" s="3" t="s">
        <v>11</v>
      </c>
      <c r="F54" s="3">
        <v>3</v>
      </c>
      <c r="G54" s="5">
        <v>900.24</v>
      </c>
      <c r="H54" s="3" t="s">
        <v>12</v>
      </c>
      <c r="I54" s="4">
        <v>44978</v>
      </c>
      <c r="J54" s="3" t="s">
        <v>23</v>
      </c>
      <c r="K54" s="10">
        <f t="shared" si="0"/>
        <v>2700.7200000000003</v>
      </c>
      <c r="L54" s="25" t="str">
        <f t="shared" si="1"/>
        <v>55-64</v>
      </c>
    </row>
    <row r="55" spans="1:15" x14ac:dyDescent="0.45">
      <c r="A55" s="9" t="s">
        <v>331</v>
      </c>
      <c r="B55" s="3" t="s">
        <v>332</v>
      </c>
      <c r="C55" s="3" t="s">
        <v>10</v>
      </c>
      <c r="D55" s="6">
        <v>61</v>
      </c>
      <c r="E55" s="3" t="s">
        <v>11</v>
      </c>
      <c r="F55" s="3">
        <v>3</v>
      </c>
      <c r="G55" s="5">
        <v>900.24</v>
      </c>
      <c r="H55" s="3" t="s">
        <v>18</v>
      </c>
      <c r="I55" s="4">
        <v>44948</v>
      </c>
      <c r="J55" s="3" t="s">
        <v>23</v>
      </c>
      <c r="K55" s="10">
        <f t="shared" si="0"/>
        <v>2700.7200000000003</v>
      </c>
      <c r="L55" s="25" t="str">
        <f t="shared" si="1"/>
        <v>55-64</v>
      </c>
    </row>
    <row r="56" spans="1:15" x14ac:dyDescent="0.45">
      <c r="A56" s="9" t="s">
        <v>349</v>
      </c>
      <c r="B56" s="3" t="s">
        <v>350</v>
      </c>
      <c r="C56" s="3" t="s">
        <v>10</v>
      </c>
      <c r="D56" s="6">
        <v>61</v>
      </c>
      <c r="E56" s="3" t="s">
        <v>11</v>
      </c>
      <c r="F56" s="3">
        <v>1</v>
      </c>
      <c r="G56" s="5">
        <v>300.08</v>
      </c>
      <c r="H56" s="3" t="s">
        <v>18</v>
      </c>
      <c r="I56" s="4">
        <v>44964</v>
      </c>
      <c r="J56" s="3" t="s">
        <v>26</v>
      </c>
      <c r="K56" s="10">
        <f t="shared" si="0"/>
        <v>300.08</v>
      </c>
      <c r="L56" s="25" t="str">
        <f t="shared" si="1"/>
        <v>55-64</v>
      </c>
    </row>
    <row r="57" spans="1:15" x14ac:dyDescent="0.45">
      <c r="A57" s="9" t="s">
        <v>363</v>
      </c>
      <c r="B57" s="3" t="s">
        <v>364</v>
      </c>
      <c r="C57" s="3" t="s">
        <v>10</v>
      </c>
      <c r="D57" s="6">
        <v>60</v>
      </c>
      <c r="E57" s="3" t="s">
        <v>15</v>
      </c>
      <c r="F57" s="3">
        <v>3</v>
      </c>
      <c r="G57" s="5">
        <v>1800.51</v>
      </c>
      <c r="H57" s="3" t="s">
        <v>16</v>
      </c>
      <c r="I57" s="4">
        <v>44956</v>
      </c>
      <c r="J57" s="3" t="s">
        <v>20</v>
      </c>
      <c r="K57" s="10">
        <f t="shared" si="0"/>
        <v>5401.53</v>
      </c>
      <c r="L57" s="25" t="str">
        <f t="shared" si="1"/>
        <v>55-64</v>
      </c>
    </row>
    <row r="58" spans="1:15" x14ac:dyDescent="0.45">
      <c r="A58" s="9" t="s">
        <v>365</v>
      </c>
      <c r="B58" s="3" t="s">
        <v>366</v>
      </c>
      <c r="C58" s="3" t="s">
        <v>10</v>
      </c>
      <c r="D58" s="6">
        <v>56</v>
      </c>
      <c r="E58" s="3" t="s">
        <v>11</v>
      </c>
      <c r="F58" s="3">
        <v>2</v>
      </c>
      <c r="G58" s="5">
        <v>600.16</v>
      </c>
      <c r="H58" s="3" t="s">
        <v>12</v>
      </c>
      <c r="I58" s="4">
        <v>44992</v>
      </c>
      <c r="J58" s="3" t="s">
        <v>19</v>
      </c>
      <c r="K58" s="10">
        <f t="shared" si="0"/>
        <v>1200.32</v>
      </c>
      <c r="L58" s="25" t="str">
        <f t="shared" si="1"/>
        <v>55-64</v>
      </c>
    </row>
    <row r="59" spans="1:15" x14ac:dyDescent="0.45">
      <c r="A59" s="9" t="s">
        <v>379</v>
      </c>
      <c r="B59" s="3" t="s">
        <v>380</v>
      </c>
      <c r="C59" s="3" t="s">
        <v>10</v>
      </c>
      <c r="D59" s="6">
        <v>59</v>
      </c>
      <c r="E59" s="3" t="s">
        <v>11</v>
      </c>
      <c r="F59" s="3">
        <v>2</v>
      </c>
      <c r="G59" s="5">
        <v>600.16</v>
      </c>
      <c r="H59" s="3" t="s">
        <v>18</v>
      </c>
      <c r="I59" s="4">
        <v>44928</v>
      </c>
      <c r="J59" s="3" t="s">
        <v>29</v>
      </c>
      <c r="K59" s="10">
        <f t="shared" si="0"/>
        <v>1200.32</v>
      </c>
      <c r="L59" s="25" t="str">
        <f t="shared" si="1"/>
        <v>55-64</v>
      </c>
    </row>
    <row r="60" spans="1:15" x14ac:dyDescent="0.45">
      <c r="A60" s="9" t="s">
        <v>387</v>
      </c>
      <c r="B60" s="3" t="s">
        <v>388</v>
      </c>
      <c r="C60" s="3" t="s">
        <v>14</v>
      </c>
      <c r="D60" s="6">
        <v>55</v>
      </c>
      <c r="E60" s="3" t="s">
        <v>15</v>
      </c>
      <c r="F60" s="3">
        <v>4</v>
      </c>
      <c r="G60" s="5">
        <v>2400.6799999999998</v>
      </c>
      <c r="H60" s="3" t="s">
        <v>16</v>
      </c>
      <c r="I60" s="4">
        <v>44981</v>
      </c>
      <c r="J60" s="3" t="s">
        <v>24</v>
      </c>
      <c r="K60" s="10">
        <f t="shared" si="0"/>
        <v>9602.7199999999993</v>
      </c>
      <c r="L60" s="25" t="str">
        <f t="shared" si="1"/>
        <v>55-64</v>
      </c>
    </row>
    <row r="61" spans="1:15" x14ac:dyDescent="0.45">
      <c r="A61" s="9" t="s">
        <v>389</v>
      </c>
      <c r="B61" s="3" t="s">
        <v>390</v>
      </c>
      <c r="C61" s="3" t="s">
        <v>10</v>
      </c>
      <c r="D61" s="6">
        <v>59</v>
      </c>
      <c r="E61" s="3" t="s">
        <v>22</v>
      </c>
      <c r="F61" s="3">
        <v>1</v>
      </c>
      <c r="G61" s="5">
        <v>40.659999999999997</v>
      </c>
      <c r="H61" s="3" t="s">
        <v>18</v>
      </c>
      <c r="I61" s="4">
        <v>44939</v>
      </c>
      <c r="J61" s="3" t="s">
        <v>24</v>
      </c>
      <c r="K61" s="10">
        <f t="shared" si="0"/>
        <v>40.659999999999997</v>
      </c>
      <c r="L61" s="25" t="str">
        <f t="shared" si="1"/>
        <v>55-64</v>
      </c>
    </row>
    <row r="62" spans="1:15" x14ac:dyDescent="0.45">
      <c r="A62" s="9" t="s">
        <v>395</v>
      </c>
      <c r="B62" s="3" t="s">
        <v>396</v>
      </c>
      <c r="C62" s="3" t="s">
        <v>10</v>
      </c>
      <c r="D62" s="6">
        <v>64</v>
      </c>
      <c r="E62" s="3" t="s">
        <v>11</v>
      </c>
      <c r="F62" s="3">
        <v>3</v>
      </c>
      <c r="G62" s="5">
        <v>900.24</v>
      </c>
      <c r="H62" s="3" t="s">
        <v>12</v>
      </c>
      <c r="I62" s="4">
        <v>44929</v>
      </c>
      <c r="J62" s="3" t="s">
        <v>24</v>
      </c>
      <c r="K62" s="10">
        <f t="shared" si="0"/>
        <v>2700.7200000000003</v>
      </c>
      <c r="L62" s="25" t="str">
        <f t="shared" si="1"/>
        <v>55-64</v>
      </c>
    </row>
    <row r="63" spans="1:15" x14ac:dyDescent="0.45">
      <c r="A63" s="9" t="s">
        <v>403</v>
      </c>
      <c r="B63" s="3" t="s">
        <v>404</v>
      </c>
      <c r="C63" s="3" t="s">
        <v>10</v>
      </c>
      <c r="D63" s="6">
        <v>55</v>
      </c>
      <c r="E63" s="3" t="s">
        <v>21</v>
      </c>
      <c r="F63" s="3">
        <v>4</v>
      </c>
      <c r="G63" s="5">
        <v>60.6</v>
      </c>
      <c r="H63" s="3" t="s">
        <v>16</v>
      </c>
      <c r="I63" s="4">
        <v>44964</v>
      </c>
      <c r="J63" s="3" t="s">
        <v>19</v>
      </c>
      <c r="K63" s="10">
        <f t="shared" si="0"/>
        <v>242.4</v>
      </c>
      <c r="L63" s="25" t="str">
        <f t="shared" si="1"/>
        <v>55-64</v>
      </c>
    </row>
    <row r="64" spans="1:15" x14ac:dyDescent="0.45">
      <c r="A64" s="9" t="s">
        <v>423</v>
      </c>
      <c r="B64" s="3" t="s">
        <v>424</v>
      </c>
      <c r="C64" s="3" t="s">
        <v>10</v>
      </c>
      <c r="D64" s="6">
        <v>64</v>
      </c>
      <c r="E64" s="3" t="s">
        <v>22</v>
      </c>
      <c r="F64" s="3">
        <v>4</v>
      </c>
      <c r="G64" s="5">
        <v>162.63999999999999</v>
      </c>
      <c r="H64" s="3" t="s">
        <v>12</v>
      </c>
      <c r="I64" s="4">
        <v>44989</v>
      </c>
      <c r="J64" s="3" t="s">
        <v>24</v>
      </c>
      <c r="K64" s="10">
        <f t="shared" si="0"/>
        <v>650.55999999999995</v>
      </c>
      <c r="L64" s="25" t="str">
        <f t="shared" si="1"/>
        <v>55-64</v>
      </c>
    </row>
    <row r="65" spans="1:12" x14ac:dyDescent="0.45">
      <c r="A65" s="9" t="s">
        <v>429</v>
      </c>
      <c r="B65" s="3" t="s">
        <v>430</v>
      </c>
      <c r="C65" s="3" t="s">
        <v>10</v>
      </c>
      <c r="D65" s="6">
        <v>58</v>
      </c>
      <c r="E65" s="3" t="s">
        <v>11</v>
      </c>
      <c r="F65" s="3">
        <v>3</v>
      </c>
      <c r="G65" s="5">
        <v>900.24</v>
      </c>
      <c r="H65" s="3" t="s">
        <v>18</v>
      </c>
      <c r="I65" s="4">
        <v>44942</v>
      </c>
      <c r="J65" s="3" t="s">
        <v>24</v>
      </c>
      <c r="K65" s="10">
        <f t="shared" si="0"/>
        <v>2700.7200000000003</v>
      </c>
      <c r="L65" s="25" t="str">
        <f t="shared" si="1"/>
        <v>55-64</v>
      </c>
    </row>
    <row r="66" spans="1:12" x14ac:dyDescent="0.45">
      <c r="A66" s="9" t="s">
        <v>495</v>
      </c>
      <c r="B66" s="3" t="s">
        <v>496</v>
      </c>
      <c r="C66" s="3" t="s">
        <v>10</v>
      </c>
      <c r="D66" s="6">
        <v>60</v>
      </c>
      <c r="E66" s="3" t="s">
        <v>11</v>
      </c>
      <c r="F66" s="3">
        <v>3</v>
      </c>
      <c r="G66" s="5">
        <v>900.24</v>
      </c>
      <c r="H66" s="3" t="s">
        <v>16</v>
      </c>
      <c r="I66" s="4">
        <v>44929</v>
      </c>
      <c r="J66" s="3" t="s">
        <v>19</v>
      </c>
      <c r="K66" s="10">
        <f t="shared" ref="K66:K129" si="2">F66*G66</f>
        <v>2700.7200000000003</v>
      </c>
      <c r="L66" s="25" t="str">
        <f t="shared" ref="L66:L129" si="3">IF(AND(D66&gt;=65,D66&lt;=69),"65-69",IF(AND(D66&gt;=55,D66&lt;=64),"55-64",IF(AND(D66&gt;=45,D66&lt;= 54),"45-54", IF(AND(D66&gt;=35,D66&lt;=44),"35-44", IF(AND(D66&gt;=25,D66&lt;=34),"25-34",IF(AND(D66&gt;=18,D66&lt;=24),"18-24","invalid"))))))</f>
        <v>55-64</v>
      </c>
    </row>
    <row r="67" spans="1:12" x14ac:dyDescent="0.45">
      <c r="A67" s="9" t="s">
        <v>509</v>
      </c>
      <c r="B67" s="3" t="s">
        <v>510</v>
      </c>
      <c r="C67" s="3" t="s">
        <v>10</v>
      </c>
      <c r="D67" s="6">
        <v>58</v>
      </c>
      <c r="E67" s="3" t="s">
        <v>25</v>
      </c>
      <c r="F67" s="3">
        <v>4</v>
      </c>
      <c r="G67" s="5">
        <v>20.92</v>
      </c>
      <c r="H67" s="3" t="s">
        <v>18</v>
      </c>
      <c r="I67" s="4">
        <v>44941</v>
      </c>
      <c r="J67" s="3" t="s">
        <v>13</v>
      </c>
      <c r="K67" s="10">
        <f t="shared" si="2"/>
        <v>83.68</v>
      </c>
      <c r="L67" s="25" t="str">
        <f t="shared" si="3"/>
        <v>55-64</v>
      </c>
    </row>
    <row r="68" spans="1:12" x14ac:dyDescent="0.45">
      <c r="A68" s="9" t="s">
        <v>523</v>
      </c>
      <c r="B68" s="3" t="s">
        <v>524</v>
      </c>
      <c r="C68" s="3" t="s">
        <v>14</v>
      </c>
      <c r="D68" s="6">
        <v>55</v>
      </c>
      <c r="E68" s="3" t="s">
        <v>11</v>
      </c>
      <c r="F68" s="3">
        <v>2</v>
      </c>
      <c r="G68" s="5">
        <v>600.16</v>
      </c>
      <c r="H68" s="3" t="s">
        <v>12</v>
      </c>
      <c r="I68" s="4">
        <v>44980</v>
      </c>
      <c r="J68" s="3" t="s">
        <v>20</v>
      </c>
      <c r="K68" s="10">
        <f t="shared" si="2"/>
        <v>1200.32</v>
      </c>
      <c r="L68" s="25" t="str">
        <f t="shared" si="3"/>
        <v>55-64</v>
      </c>
    </row>
    <row r="69" spans="1:12" x14ac:dyDescent="0.45">
      <c r="A69" s="9" t="s">
        <v>42</v>
      </c>
      <c r="B69" s="3" t="s">
        <v>43</v>
      </c>
      <c r="C69" s="3" t="s">
        <v>10</v>
      </c>
      <c r="D69" s="6">
        <v>53</v>
      </c>
      <c r="E69" s="3" t="s">
        <v>22</v>
      </c>
      <c r="F69" s="3">
        <v>2</v>
      </c>
      <c r="G69" s="5">
        <v>81.319999999999993</v>
      </c>
      <c r="H69" s="3" t="s">
        <v>12</v>
      </c>
      <c r="I69" s="4">
        <v>44938</v>
      </c>
      <c r="J69" s="3" t="s">
        <v>23</v>
      </c>
      <c r="K69" s="10">
        <f t="shared" si="2"/>
        <v>162.63999999999999</v>
      </c>
      <c r="L69" s="25" t="str">
        <f t="shared" si="3"/>
        <v>45-54</v>
      </c>
    </row>
    <row r="70" spans="1:12" x14ac:dyDescent="0.45">
      <c r="A70" s="9" t="s">
        <v>61</v>
      </c>
      <c r="B70" s="3" t="s">
        <v>62</v>
      </c>
      <c r="C70" s="3" t="s">
        <v>10</v>
      </c>
      <c r="D70" s="6">
        <v>53</v>
      </c>
      <c r="E70" s="3" t="s">
        <v>27</v>
      </c>
      <c r="F70" s="3">
        <v>1</v>
      </c>
      <c r="G70" s="5">
        <v>35.840000000000003</v>
      </c>
      <c r="H70" s="3" t="s">
        <v>16</v>
      </c>
      <c r="I70" s="4">
        <v>44957</v>
      </c>
      <c r="J70" s="3" t="s">
        <v>24</v>
      </c>
      <c r="K70" s="10">
        <f t="shared" si="2"/>
        <v>35.840000000000003</v>
      </c>
      <c r="L70" s="25" t="str">
        <f t="shared" si="3"/>
        <v>45-54</v>
      </c>
    </row>
    <row r="71" spans="1:12" x14ac:dyDescent="0.45">
      <c r="A71" s="9" t="s">
        <v>69</v>
      </c>
      <c r="B71" s="3" t="s">
        <v>70</v>
      </c>
      <c r="C71" s="3" t="s">
        <v>14</v>
      </c>
      <c r="D71" s="6">
        <v>46</v>
      </c>
      <c r="E71" s="3" t="s">
        <v>22</v>
      </c>
      <c r="F71" s="3">
        <v>4</v>
      </c>
      <c r="G71" s="5">
        <v>162.63999999999999</v>
      </c>
      <c r="H71" s="3" t="s">
        <v>18</v>
      </c>
      <c r="I71" s="4">
        <v>44960</v>
      </c>
      <c r="J71" s="3" t="s">
        <v>24</v>
      </c>
      <c r="K71" s="10">
        <f t="shared" si="2"/>
        <v>650.55999999999995</v>
      </c>
      <c r="L71" s="25" t="str">
        <f t="shared" si="3"/>
        <v>45-54</v>
      </c>
    </row>
    <row r="72" spans="1:12" x14ac:dyDescent="0.45">
      <c r="A72" s="9" t="s">
        <v>77</v>
      </c>
      <c r="B72" s="3" t="s">
        <v>78</v>
      </c>
      <c r="C72" s="3" t="s">
        <v>10</v>
      </c>
      <c r="D72" s="6">
        <v>48</v>
      </c>
      <c r="E72" s="3" t="s">
        <v>44</v>
      </c>
      <c r="F72" s="3">
        <v>4</v>
      </c>
      <c r="G72" s="5">
        <v>46.92</v>
      </c>
      <c r="H72" s="3" t="s">
        <v>18</v>
      </c>
      <c r="I72" s="4">
        <v>44928</v>
      </c>
      <c r="J72" s="3" t="s">
        <v>19</v>
      </c>
      <c r="K72" s="10">
        <f t="shared" si="2"/>
        <v>187.68</v>
      </c>
      <c r="L72" s="25" t="str">
        <f t="shared" si="3"/>
        <v>45-54</v>
      </c>
    </row>
    <row r="73" spans="1:12" x14ac:dyDescent="0.45">
      <c r="A73" s="9" t="s">
        <v>81</v>
      </c>
      <c r="B73" s="3" t="s">
        <v>82</v>
      </c>
      <c r="C73" s="3" t="s">
        <v>10</v>
      </c>
      <c r="D73" s="6">
        <v>53</v>
      </c>
      <c r="E73" s="3" t="s">
        <v>22</v>
      </c>
      <c r="F73" s="3">
        <v>2</v>
      </c>
      <c r="G73" s="5">
        <v>81.319999999999993</v>
      </c>
      <c r="H73" s="3" t="s">
        <v>18</v>
      </c>
      <c r="I73" s="4">
        <v>44976</v>
      </c>
      <c r="J73" s="3" t="s">
        <v>23</v>
      </c>
      <c r="K73" s="10">
        <f t="shared" si="2"/>
        <v>162.63999999999999</v>
      </c>
      <c r="L73" s="25" t="str">
        <f t="shared" si="3"/>
        <v>45-54</v>
      </c>
    </row>
    <row r="74" spans="1:12" x14ac:dyDescent="0.45">
      <c r="A74" s="9" t="s">
        <v>87</v>
      </c>
      <c r="B74" s="3" t="s">
        <v>88</v>
      </c>
      <c r="C74" s="3" t="s">
        <v>10</v>
      </c>
      <c r="D74" s="6">
        <v>54</v>
      </c>
      <c r="E74" s="3" t="s">
        <v>22</v>
      </c>
      <c r="F74" s="3">
        <v>4</v>
      </c>
      <c r="G74" s="5">
        <v>162.63999999999999</v>
      </c>
      <c r="H74" s="3" t="s">
        <v>12</v>
      </c>
      <c r="I74" s="4">
        <v>44980</v>
      </c>
      <c r="J74" s="3" t="s">
        <v>17</v>
      </c>
      <c r="K74" s="10">
        <f t="shared" si="2"/>
        <v>650.55999999999995</v>
      </c>
      <c r="L74" s="25" t="str">
        <f t="shared" si="3"/>
        <v>45-54</v>
      </c>
    </row>
    <row r="75" spans="1:12" x14ac:dyDescent="0.45">
      <c r="A75" s="9" t="s">
        <v>89</v>
      </c>
      <c r="B75" s="3" t="s">
        <v>90</v>
      </c>
      <c r="C75" s="3" t="s">
        <v>10</v>
      </c>
      <c r="D75" s="6">
        <v>50</v>
      </c>
      <c r="E75" s="3" t="s">
        <v>35</v>
      </c>
      <c r="F75" s="3">
        <v>1</v>
      </c>
      <c r="G75" s="5">
        <v>1050</v>
      </c>
      <c r="H75" s="3" t="s">
        <v>18</v>
      </c>
      <c r="I75" s="4">
        <v>44966</v>
      </c>
      <c r="J75" s="3" t="s">
        <v>30</v>
      </c>
      <c r="K75" s="10">
        <f t="shared" si="2"/>
        <v>1050</v>
      </c>
      <c r="L75" s="25" t="str">
        <f t="shared" si="3"/>
        <v>45-54</v>
      </c>
    </row>
    <row r="76" spans="1:12" x14ac:dyDescent="0.45">
      <c r="A76" s="9" t="s">
        <v>97</v>
      </c>
      <c r="B76" s="3" t="s">
        <v>98</v>
      </c>
      <c r="C76" s="3" t="s">
        <v>10</v>
      </c>
      <c r="D76" s="6">
        <v>45</v>
      </c>
      <c r="E76" s="3" t="s">
        <v>11</v>
      </c>
      <c r="F76" s="3">
        <v>3</v>
      </c>
      <c r="G76" s="5">
        <v>900.24</v>
      </c>
      <c r="H76" s="3" t="s">
        <v>16</v>
      </c>
      <c r="I76" s="4">
        <v>44993</v>
      </c>
      <c r="J76" s="3" t="s">
        <v>28</v>
      </c>
      <c r="K76" s="10">
        <f t="shared" si="2"/>
        <v>2700.7200000000003</v>
      </c>
      <c r="L76" s="25" t="str">
        <f t="shared" si="3"/>
        <v>45-54</v>
      </c>
    </row>
    <row r="77" spans="1:12" x14ac:dyDescent="0.45">
      <c r="A77" s="9" t="s">
        <v>99</v>
      </c>
      <c r="B77" s="3" t="s">
        <v>100</v>
      </c>
      <c r="C77" s="3" t="s">
        <v>10</v>
      </c>
      <c r="D77" s="6">
        <v>54</v>
      </c>
      <c r="E77" s="3" t="s">
        <v>11</v>
      </c>
      <c r="F77" s="3">
        <v>1</v>
      </c>
      <c r="G77" s="5">
        <v>300.08</v>
      </c>
      <c r="H77" s="3" t="s">
        <v>12</v>
      </c>
      <c r="I77" s="4">
        <v>44960</v>
      </c>
      <c r="J77" s="3" t="s">
        <v>26</v>
      </c>
      <c r="K77" s="10">
        <f t="shared" si="2"/>
        <v>300.08</v>
      </c>
      <c r="L77" s="25" t="str">
        <f t="shared" si="3"/>
        <v>45-54</v>
      </c>
    </row>
    <row r="78" spans="1:12" x14ac:dyDescent="0.45">
      <c r="A78" s="9" t="s">
        <v>103</v>
      </c>
      <c r="B78" s="3" t="s">
        <v>104</v>
      </c>
      <c r="C78" s="3" t="s">
        <v>10</v>
      </c>
      <c r="D78" s="6">
        <v>53</v>
      </c>
      <c r="E78" s="3" t="s">
        <v>11</v>
      </c>
      <c r="F78" s="3">
        <v>5</v>
      </c>
      <c r="G78" s="5">
        <v>1500.4</v>
      </c>
      <c r="H78" s="3" t="s">
        <v>12</v>
      </c>
      <c r="I78" s="4">
        <v>44960</v>
      </c>
      <c r="J78" s="3" t="s">
        <v>26</v>
      </c>
      <c r="K78" s="10">
        <f t="shared" si="2"/>
        <v>7502</v>
      </c>
      <c r="L78" s="25" t="str">
        <f t="shared" si="3"/>
        <v>45-54</v>
      </c>
    </row>
    <row r="79" spans="1:12" x14ac:dyDescent="0.45">
      <c r="A79" s="9" t="s">
        <v>105</v>
      </c>
      <c r="B79" s="3" t="s">
        <v>106</v>
      </c>
      <c r="C79" s="3" t="s">
        <v>10</v>
      </c>
      <c r="D79" s="6">
        <v>50</v>
      </c>
      <c r="E79" s="3" t="s">
        <v>22</v>
      </c>
      <c r="F79" s="3">
        <v>4</v>
      </c>
      <c r="G79" s="5">
        <v>162.63999999999999</v>
      </c>
      <c r="H79" s="3" t="s">
        <v>18</v>
      </c>
      <c r="I79" s="4">
        <v>44932</v>
      </c>
      <c r="J79" s="3" t="s">
        <v>24</v>
      </c>
      <c r="K79" s="10">
        <f t="shared" si="2"/>
        <v>650.55999999999995</v>
      </c>
      <c r="L79" s="25" t="str">
        <f t="shared" si="3"/>
        <v>45-54</v>
      </c>
    </row>
    <row r="80" spans="1:12" x14ac:dyDescent="0.45">
      <c r="A80" s="9" t="s">
        <v>115</v>
      </c>
      <c r="B80" s="3" t="s">
        <v>116</v>
      </c>
      <c r="C80" s="3" t="s">
        <v>10</v>
      </c>
      <c r="D80" s="6">
        <v>54</v>
      </c>
      <c r="E80" s="3" t="s">
        <v>15</v>
      </c>
      <c r="F80" s="3">
        <v>4</v>
      </c>
      <c r="G80" s="5">
        <v>2400.6799999999998</v>
      </c>
      <c r="H80" s="3" t="s">
        <v>12</v>
      </c>
      <c r="I80" s="4">
        <v>44933</v>
      </c>
      <c r="J80" s="3" t="s">
        <v>19</v>
      </c>
      <c r="K80" s="10">
        <f t="shared" si="2"/>
        <v>9602.7199999999993</v>
      </c>
      <c r="L80" s="25" t="str">
        <f t="shared" si="3"/>
        <v>45-54</v>
      </c>
    </row>
    <row r="81" spans="1:12" x14ac:dyDescent="0.45">
      <c r="A81" s="9" t="s">
        <v>131</v>
      </c>
      <c r="B81" s="3" t="s">
        <v>132</v>
      </c>
      <c r="C81" s="3" t="s">
        <v>10</v>
      </c>
      <c r="D81" s="6">
        <v>49</v>
      </c>
      <c r="E81" s="3" t="s">
        <v>11</v>
      </c>
      <c r="F81" s="3">
        <v>1</v>
      </c>
      <c r="G81" s="5">
        <v>300.08</v>
      </c>
      <c r="H81" s="3" t="s">
        <v>12</v>
      </c>
      <c r="I81" s="4">
        <v>44987</v>
      </c>
      <c r="J81" s="3" t="s">
        <v>13</v>
      </c>
      <c r="K81" s="10">
        <f t="shared" si="2"/>
        <v>300.08</v>
      </c>
      <c r="L81" s="25" t="str">
        <f t="shared" si="3"/>
        <v>45-54</v>
      </c>
    </row>
    <row r="82" spans="1:12" x14ac:dyDescent="0.45">
      <c r="A82" s="9" t="s">
        <v>133</v>
      </c>
      <c r="B82" s="3" t="s">
        <v>134</v>
      </c>
      <c r="C82" s="3" t="s">
        <v>14</v>
      </c>
      <c r="D82" s="6">
        <v>47</v>
      </c>
      <c r="E82" s="3" t="s">
        <v>11</v>
      </c>
      <c r="F82" s="3">
        <v>1</v>
      </c>
      <c r="G82" s="5">
        <v>300.08</v>
      </c>
      <c r="H82" s="3" t="s">
        <v>12</v>
      </c>
      <c r="I82" s="4">
        <v>44937</v>
      </c>
      <c r="J82" s="3" t="s">
        <v>23</v>
      </c>
      <c r="K82" s="10">
        <f t="shared" si="2"/>
        <v>300.08</v>
      </c>
      <c r="L82" s="25" t="str">
        <f t="shared" si="3"/>
        <v>45-54</v>
      </c>
    </row>
    <row r="83" spans="1:12" x14ac:dyDescent="0.45">
      <c r="A83" s="9" t="s">
        <v>147</v>
      </c>
      <c r="B83" s="3" t="s">
        <v>148</v>
      </c>
      <c r="C83" s="3" t="s">
        <v>14</v>
      </c>
      <c r="D83" s="6">
        <v>48</v>
      </c>
      <c r="E83" s="3" t="s">
        <v>35</v>
      </c>
      <c r="F83" s="3">
        <v>5</v>
      </c>
      <c r="G83" s="5">
        <v>5250</v>
      </c>
      <c r="H83" s="3" t="s">
        <v>18</v>
      </c>
      <c r="I83" s="4">
        <v>44983</v>
      </c>
      <c r="J83" s="3" t="s">
        <v>30</v>
      </c>
      <c r="K83" s="10">
        <f t="shared" si="2"/>
        <v>26250</v>
      </c>
      <c r="L83" s="25" t="str">
        <f t="shared" si="3"/>
        <v>45-54</v>
      </c>
    </row>
    <row r="84" spans="1:12" x14ac:dyDescent="0.45">
      <c r="A84" s="9" t="s">
        <v>153</v>
      </c>
      <c r="B84" s="3" t="s">
        <v>154</v>
      </c>
      <c r="C84" s="3" t="s">
        <v>10</v>
      </c>
      <c r="D84" s="6">
        <v>52</v>
      </c>
      <c r="E84" s="3" t="s">
        <v>25</v>
      </c>
      <c r="F84" s="3">
        <v>5</v>
      </c>
      <c r="G84" s="5">
        <v>26.15</v>
      </c>
      <c r="H84" s="3" t="s">
        <v>12</v>
      </c>
      <c r="I84" s="4">
        <v>44951</v>
      </c>
      <c r="J84" s="3" t="s">
        <v>19</v>
      </c>
      <c r="K84" s="10">
        <f t="shared" si="2"/>
        <v>130.75</v>
      </c>
      <c r="L84" s="25" t="str">
        <f t="shared" si="3"/>
        <v>45-54</v>
      </c>
    </row>
    <row r="85" spans="1:12" x14ac:dyDescent="0.45">
      <c r="A85" s="9" t="s">
        <v>157</v>
      </c>
      <c r="B85" s="3" t="s">
        <v>158</v>
      </c>
      <c r="C85" s="3" t="s">
        <v>10</v>
      </c>
      <c r="D85" s="6">
        <v>51</v>
      </c>
      <c r="E85" s="3" t="s">
        <v>15</v>
      </c>
      <c r="F85" s="3">
        <v>3</v>
      </c>
      <c r="G85" s="5">
        <v>1800.51</v>
      </c>
      <c r="H85" s="3" t="s">
        <v>16</v>
      </c>
      <c r="I85" s="4">
        <v>44981</v>
      </c>
      <c r="J85" s="3" t="s">
        <v>13</v>
      </c>
      <c r="K85" s="10">
        <f t="shared" si="2"/>
        <v>5401.53</v>
      </c>
      <c r="L85" s="25" t="str">
        <f t="shared" si="3"/>
        <v>45-54</v>
      </c>
    </row>
    <row r="86" spans="1:12" x14ac:dyDescent="0.45">
      <c r="A86" s="9" t="s">
        <v>161</v>
      </c>
      <c r="B86" s="3" t="s">
        <v>162</v>
      </c>
      <c r="C86" s="3" t="s">
        <v>10</v>
      </c>
      <c r="D86" s="6">
        <v>54</v>
      </c>
      <c r="E86" s="3" t="s">
        <v>11</v>
      </c>
      <c r="F86" s="3">
        <v>1</v>
      </c>
      <c r="G86" s="5">
        <v>300.08</v>
      </c>
      <c r="H86" s="3" t="s">
        <v>12</v>
      </c>
      <c r="I86" s="4">
        <v>44965</v>
      </c>
      <c r="J86" s="3" t="s">
        <v>19</v>
      </c>
      <c r="K86" s="10">
        <f t="shared" si="2"/>
        <v>300.08</v>
      </c>
      <c r="L86" s="25" t="str">
        <f t="shared" si="3"/>
        <v>45-54</v>
      </c>
    </row>
    <row r="87" spans="1:12" x14ac:dyDescent="0.45">
      <c r="A87" s="9" t="s">
        <v>169</v>
      </c>
      <c r="B87" s="3" t="s">
        <v>170</v>
      </c>
      <c r="C87" s="3" t="s">
        <v>10</v>
      </c>
      <c r="D87" s="6">
        <v>52</v>
      </c>
      <c r="E87" s="3" t="s">
        <v>27</v>
      </c>
      <c r="F87" s="3">
        <v>3</v>
      </c>
      <c r="G87" s="5">
        <v>107.52</v>
      </c>
      <c r="H87" s="3" t="s">
        <v>18</v>
      </c>
      <c r="I87" s="4">
        <v>44985</v>
      </c>
      <c r="J87" s="3" t="s">
        <v>17</v>
      </c>
      <c r="K87" s="10">
        <f t="shared" si="2"/>
        <v>322.56</v>
      </c>
      <c r="L87" s="25" t="str">
        <f t="shared" si="3"/>
        <v>45-54</v>
      </c>
    </row>
    <row r="88" spans="1:12" x14ac:dyDescent="0.45">
      <c r="A88" s="9" t="s">
        <v>173</v>
      </c>
      <c r="B88" s="3" t="s">
        <v>174</v>
      </c>
      <c r="C88" s="3" t="s">
        <v>10</v>
      </c>
      <c r="D88" s="6">
        <v>47</v>
      </c>
      <c r="E88" s="3" t="s">
        <v>22</v>
      </c>
      <c r="F88" s="3">
        <v>4</v>
      </c>
      <c r="G88" s="5">
        <v>162.63999999999999</v>
      </c>
      <c r="H88" s="3" t="s">
        <v>12</v>
      </c>
      <c r="I88" s="4">
        <v>44990</v>
      </c>
      <c r="J88" s="3" t="s">
        <v>13</v>
      </c>
      <c r="K88" s="10">
        <f t="shared" si="2"/>
        <v>650.55999999999995</v>
      </c>
      <c r="L88" s="25" t="str">
        <f t="shared" si="3"/>
        <v>45-54</v>
      </c>
    </row>
    <row r="89" spans="1:12" x14ac:dyDescent="0.45">
      <c r="A89" s="9" t="s">
        <v>177</v>
      </c>
      <c r="B89" s="3" t="s">
        <v>178</v>
      </c>
      <c r="C89" s="3" t="s">
        <v>10</v>
      </c>
      <c r="D89" s="6">
        <v>52</v>
      </c>
      <c r="E89" s="3" t="s">
        <v>25</v>
      </c>
      <c r="F89" s="3">
        <v>4</v>
      </c>
      <c r="G89" s="5">
        <v>20.92</v>
      </c>
      <c r="H89" s="3" t="s">
        <v>18</v>
      </c>
      <c r="I89" s="4">
        <v>44983</v>
      </c>
      <c r="J89" s="3" t="s">
        <v>20</v>
      </c>
      <c r="K89" s="10">
        <f t="shared" si="2"/>
        <v>83.68</v>
      </c>
      <c r="L89" s="25" t="str">
        <f t="shared" si="3"/>
        <v>45-54</v>
      </c>
    </row>
    <row r="90" spans="1:12" x14ac:dyDescent="0.45">
      <c r="A90" s="9" t="s">
        <v>181</v>
      </c>
      <c r="B90" s="3" t="s">
        <v>182</v>
      </c>
      <c r="C90" s="3" t="s">
        <v>14</v>
      </c>
      <c r="D90" s="6">
        <v>54</v>
      </c>
      <c r="E90" s="3" t="s">
        <v>15</v>
      </c>
      <c r="F90" s="3">
        <v>3</v>
      </c>
      <c r="G90" s="5">
        <v>1800.51</v>
      </c>
      <c r="H90" s="3" t="s">
        <v>16</v>
      </c>
      <c r="I90" s="4">
        <v>44982</v>
      </c>
      <c r="J90" s="3" t="s">
        <v>20</v>
      </c>
      <c r="K90" s="10">
        <f t="shared" si="2"/>
        <v>5401.53</v>
      </c>
      <c r="L90" s="25" t="str">
        <f t="shared" si="3"/>
        <v>45-54</v>
      </c>
    </row>
    <row r="91" spans="1:12" x14ac:dyDescent="0.45">
      <c r="A91" s="9" t="s">
        <v>185</v>
      </c>
      <c r="B91" s="3" t="s">
        <v>186</v>
      </c>
      <c r="C91" s="3" t="s">
        <v>10</v>
      </c>
      <c r="D91" s="6">
        <v>53</v>
      </c>
      <c r="E91" s="3" t="s">
        <v>15</v>
      </c>
      <c r="F91" s="3">
        <v>4</v>
      </c>
      <c r="G91" s="5">
        <v>2400.6799999999998</v>
      </c>
      <c r="H91" s="3" t="s">
        <v>18</v>
      </c>
      <c r="I91" s="4">
        <v>44936</v>
      </c>
      <c r="J91" s="3" t="s">
        <v>20</v>
      </c>
      <c r="K91" s="10">
        <f t="shared" si="2"/>
        <v>9602.7199999999993</v>
      </c>
      <c r="L91" s="25" t="str">
        <f t="shared" si="3"/>
        <v>45-54</v>
      </c>
    </row>
    <row r="92" spans="1:12" x14ac:dyDescent="0.45">
      <c r="A92" s="9" t="s">
        <v>195</v>
      </c>
      <c r="B92" s="3" t="s">
        <v>196</v>
      </c>
      <c r="C92" s="3" t="s">
        <v>10</v>
      </c>
      <c r="D92" s="6">
        <v>45</v>
      </c>
      <c r="E92" s="3" t="s">
        <v>22</v>
      </c>
      <c r="F92" s="3">
        <v>3</v>
      </c>
      <c r="G92" s="5">
        <v>121.98</v>
      </c>
      <c r="H92" s="3" t="s">
        <v>12</v>
      </c>
      <c r="I92" s="4">
        <v>44953</v>
      </c>
      <c r="J92" s="3" t="s">
        <v>23</v>
      </c>
      <c r="K92" s="10">
        <f t="shared" si="2"/>
        <v>365.94</v>
      </c>
      <c r="L92" s="25" t="str">
        <f t="shared" si="3"/>
        <v>45-54</v>
      </c>
    </row>
    <row r="93" spans="1:12" x14ac:dyDescent="0.45">
      <c r="A93" s="9" t="s">
        <v>201</v>
      </c>
      <c r="B93" s="3" t="s">
        <v>202</v>
      </c>
      <c r="C93" s="3" t="s">
        <v>14</v>
      </c>
      <c r="D93" s="6">
        <v>51</v>
      </c>
      <c r="E93" s="3" t="s">
        <v>22</v>
      </c>
      <c r="F93" s="3">
        <v>3</v>
      </c>
      <c r="G93" s="5">
        <v>121.98</v>
      </c>
      <c r="H93" s="3" t="s">
        <v>16</v>
      </c>
      <c r="I93" s="4">
        <v>44970</v>
      </c>
      <c r="J93" s="3" t="s">
        <v>24</v>
      </c>
      <c r="K93" s="10">
        <f t="shared" si="2"/>
        <v>365.94</v>
      </c>
      <c r="L93" s="25" t="str">
        <f t="shared" si="3"/>
        <v>45-54</v>
      </c>
    </row>
    <row r="94" spans="1:12" x14ac:dyDescent="0.45">
      <c r="A94" s="9" t="s">
        <v>213</v>
      </c>
      <c r="B94" s="3" t="s">
        <v>214</v>
      </c>
      <c r="C94" s="3" t="s">
        <v>10</v>
      </c>
      <c r="D94" s="6">
        <v>50</v>
      </c>
      <c r="E94" s="3" t="s">
        <v>15</v>
      </c>
      <c r="F94" s="3">
        <v>4</v>
      </c>
      <c r="G94" s="5">
        <v>2400.6799999999998</v>
      </c>
      <c r="H94" s="3" t="s">
        <v>12</v>
      </c>
      <c r="I94" s="4">
        <v>44945</v>
      </c>
      <c r="J94" s="3" t="s">
        <v>19</v>
      </c>
      <c r="K94" s="10">
        <f t="shared" si="2"/>
        <v>9602.7199999999993</v>
      </c>
      <c r="L94" s="25" t="str">
        <f t="shared" si="3"/>
        <v>45-54</v>
      </c>
    </row>
    <row r="95" spans="1:12" x14ac:dyDescent="0.45">
      <c r="A95" s="9" t="s">
        <v>223</v>
      </c>
      <c r="B95" s="3" t="s">
        <v>224</v>
      </c>
      <c r="C95" s="3" t="s">
        <v>14</v>
      </c>
      <c r="D95" s="6">
        <v>49</v>
      </c>
      <c r="E95" s="3" t="s">
        <v>11</v>
      </c>
      <c r="F95" s="3">
        <v>2</v>
      </c>
      <c r="G95" s="5">
        <v>600.16</v>
      </c>
      <c r="H95" s="3" t="s">
        <v>18</v>
      </c>
      <c r="I95" s="4">
        <v>44967</v>
      </c>
      <c r="J95" s="3" t="s">
        <v>13</v>
      </c>
      <c r="K95" s="10">
        <f t="shared" si="2"/>
        <v>1200.32</v>
      </c>
      <c r="L95" s="25" t="str">
        <f t="shared" si="3"/>
        <v>45-54</v>
      </c>
    </row>
    <row r="96" spans="1:12" x14ac:dyDescent="0.45">
      <c r="A96" s="9" t="s">
        <v>237</v>
      </c>
      <c r="B96" s="3" t="s">
        <v>238</v>
      </c>
      <c r="C96" s="3" t="s">
        <v>10</v>
      </c>
      <c r="D96" s="6">
        <v>50</v>
      </c>
      <c r="E96" s="3" t="s">
        <v>11</v>
      </c>
      <c r="F96" s="3">
        <v>5</v>
      </c>
      <c r="G96" s="5">
        <v>1500.4</v>
      </c>
      <c r="H96" s="3" t="s">
        <v>18</v>
      </c>
      <c r="I96" s="4">
        <v>44969</v>
      </c>
      <c r="J96" s="3" t="s">
        <v>13</v>
      </c>
      <c r="K96" s="10">
        <f t="shared" si="2"/>
        <v>7502</v>
      </c>
      <c r="L96" s="25" t="str">
        <f t="shared" si="3"/>
        <v>45-54</v>
      </c>
    </row>
    <row r="97" spans="1:12" x14ac:dyDescent="0.45">
      <c r="A97" s="9" t="s">
        <v>247</v>
      </c>
      <c r="B97" s="3" t="s">
        <v>248</v>
      </c>
      <c r="C97" s="3" t="s">
        <v>10</v>
      </c>
      <c r="D97" s="6">
        <v>45</v>
      </c>
      <c r="E97" s="3" t="s">
        <v>11</v>
      </c>
      <c r="F97" s="3">
        <v>2</v>
      </c>
      <c r="G97" s="5">
        <v>600.16</v>
      </c>
      <c r="H97" s="3" t="s">
        <v>12</v>
      </c>
      <c r="I97" s="4">
        <v>44990</v>
      </c>
      <c r="J97" s="3" t="s">
        <v>13</v>
      </c>
      <c r="K97" s="10">
        <f t="shared" si="2"/>
        <v>1200.32</v>
      </c>
      <c r="L97" s="25" t="str">
        <f t="shared" si="3"/>
        <v>45-54</v>
      </c>
    </row>
    <row r="98" spans="1:12" x14ac:dyDescent="0.45">
      <c r="A98" s="9" t="s">
        <v>267</v>
      </c>
      <c r="B98" s="3" t="s">
        <v>268</v>
      </c>
      <c r="C98" s="3" t="s">
        <v>14</v>
      </c>
      <c r="D98" s="6">
        <v>49</v>
      </c>
      <c r="E98" s="3" t="s">
        <v>22</v>
      </c>
      <c r="F98" s="3">
        <v>1</v>
      </c>
      <c r="G98" s="5">
        <v>40.659999999999997</v>
      </c>
      <c r="H98" s="3" t="s">
        <v>18</v>
      </c>
      <c r="I98" s="4">
        <v>44944</v>
      </c>
      <c r="J98" s="3" t="s">
        <v>20</v>
      </c>
      <c r="K98" s="10">
        <f t="shared" si="2"/>
        <v>40.659999999999997</v>
      </c>
      <c r="L98" s="25" t="str">
        <f t="shared" si="3"/>
        <v>45-54</v>
      </c>
    </row>
    <row r="99" spans="1:12" x14ac:dyDescent="0.45">
      <c r="A99" s="9" t="s">
        <v>325</v>
      </c>
      <c r="B99" s="3" t="s">
        <v>326</v>
      </c>
      <c r="C99" s="3" t="s">
        <v>10</v>
      </c>
      <c r="D99" s="6">
        <v>53</v>
      </c>
      <c r="E99" s="3" t="s">
        <v>35</v>
      </c>
      <c r="F99" s="3">
        <v>5</v>
      </c>
      <c r="G99" s="5">
        <v>5250</v>
      </c>
      <c r="H99" s="3" t="s">
        <v>18</v>
      </c>
      <c r="I99" s="4">
        <v>44950</v>
      </c>
      <c r="J99" s="3" t="s">
        <v>24</v>
      </c>
      <c r="K99" s="10">
        <f t="shared" si="2"/>
        <v>26250</v>
      </c>
      <c r="L99" s="25" t="str">
        <f t="shared" si="3"/>
        <v>45-54</v>
      </c>
    </row>
    <row r="100" spans="1:12" x14ac:dyDescent="0.45">
      <c r="A100" s="9" t="s">
        <v>337</v>
      </c>
      <c r="B100" s="3" t="s">
        <v>338</v>
      </c>
      <c r="C100" s="3" t="s">
        <v>10</v>
      </c>
      <c r="D100" s="6">
        <v>50</v>
      </c>
      <c r="E100" s="3" t="s">
        <v>21</v>
      </c>
      <c r="F100" s="3">
        <v>5</v>
      </c>
      <c r="G100" s="5">
        <v>75.75</v>
      </c>
      <c r="H100" s="3" t="s">
        <v>18</v>
      </c>
      <c r="I100" s="4">
        <v>44959</v>
      </c>
      <c r="J100" s="3" t="s">
        <v>24</v>
      </c>
      <c r="K100" s="10">
        <f t="shared" si="2"/>
        <v>378.75</v>
      </c>
      <c r="L100" s="25" t="str">
        <f t="shared" si="3"/>
        <v>45-54</v>
      </c>
    </row>
    <row r="101" spans="1:12" x14ac:dyDescent="0.45">
      <c r="A101" s="9" t="s">
        <v>339</v>
      </c>
      <c r="B101" s="3" t="s">
        <v>340</v>
      </c>
      <c r="C101" s="3" t="s">
        <v>10</v>
      </c>
      <c r="D101" s="6">
        <v>54</v>
      </c>
      <c r="E101" s="3" t="s">
        <v>44</v>
      </c>
      <c r="F101" s="3">
        <v>3</v>
      </c>
      <c r="G101" s="5">
        <v>35.19</v>
      </c>
      <c r="H101" s="3" t="s">
        <v>18</v>
      </c>
      <c r="I101" s="4">
        <v>44972</v>
      </c>
      <c r="J101" s="3" t="s">
        <v>13</v>
      </c>
      <c r="K101" s="10">
        <f t="shared" si="2"/>
        <v>105.57</v>
      </c>
      <c r="L101" s="25" t="str">
        <f t="shared" si="3"/>
        <v>45-54</v>
      </c>
    </row>
    <row r="102" spans="1:12" x14ac:dyDescent="0.45">
      <c r="A102" s="9" t="s">
        <v>357</v>
      </c>
      <c r="B102" s="3" t="s">
        <v>358</v>
      </c>
      <c r="C102" s="3" t="s">
        <v>10</v>
      </c>
      <c r="D102" s="6">
        <v>54</v>
      </c>
      <c r="E102" s="3" t="s">
        <v>27</v>
      </c>
      <c r="F102" s="3">
        <v>4</v>
      </c>
      <c r="G102" s="5">
        <v>143.36000000000001</v>
      </c>
      <c r="H102" s="3" t="s">
        <v>18</v>
      </c>
      <c r="I102" s="4">
        <v>44954</v>
      </c>
      <c r="J102" s="3" t="s">
        <v>23</v>
      </c>
      <c r="K102" s="10">
        <f t="shared" si="2"/>
        <v>573.44000000000005</v>
      </c>
      <c r="L102" s="25" t="str">
        <f t="shared" si="3"/>
        <v>45-54</v>
      </c>
    </row>
    <row r="103" spans="1:12" x14ac:dyDescent="0.45">
      <c r="A103" s="9" t="s">
        <v>371</v>
      </c>
      <c r="B103" s="3" t="s">
        <v>372</v>
      </c>
      <c r="C103" s="3" t="s">
        <v>10</v>
      </c>
      <c r="D103" s="6">
        <v>49</v>
      </c>
      <c r="E103" s="3" t="s">
        <v>27</v>
      </c>
      <c r="F103" s="3">
        <v>2</v>
      </c>
      <c r="G103" s="5">
        <v>71.680000000000007</v>
      </c>
      <c r="H103" s="3" t="s">
        <v>16</v>
      </c>
      <c r="I103" s="4">
        <v>44991</v>
      </c>
      <c r="J103" s="3" t="s">
        <v>20</v>
      </c>
      <c r="K103" s="10">
        <f t="shared" si="2"/>
        <v>143.36000000000001</v>
      </c>
      <c r="L103" s="25" t="str">
        <f t="shared" si="3"/>
        <v>45-54</v>
      </c>
    </row>
    <row r="104" spans="1:12" x14ac:dyDescent="0.45">
      <c r="A104" s="9" t="s">
        <v>381</v>
      </c>
      <c r="B104" s="3" t="s">
        <v>382</v>
      </c>
      <c r="C104" s="3" t="s">
        <v>10</v>
      </c>
      <c r="D104" s="6">
        <v>51</v>
      </c>
      <c r="E104" s="3" t="s">
        <v>11</v>
      </c>
      <c r="F104" s="3">
        <v>1</v>
      </c>
      <c r="G104" s="5">
        <v>300.08</v>
      </c>
      <c r="H104" s="3" t="s">
        <v>12</v>
      </c>
      <c r="I104" s="4">
        <v>44966</v>
      </c>
      <c r="J104" s="3" t="s">
        <v>23</v>
      </c>
      <c r="K104" s="10">
        <f t="shared" si="2"/>
        <v>300.08</v>
      </c>
      <c r="L104" s="25" t="str">
        <f t="shared" si="3"/>
        <v>45-54</v>
      </c>
    </row>
    <row r="105" spans="1:12" x14ac:dyDescent="0.45">
      <c r="A105" s="9" t="s">
        <v>413</v>
      </c>
      <c r="B105" s="3" t="s">
        <v>414</v>
      </c>
      <c r="C105" s="3" t="s">
        <v>14</v>
      </c>
      <c r="D105" s="6">
        <v>48</v>
      </c>
      <c r="E105" s="3" t="s">
        <v>15</v>
      </c>
      <c r="F105" s="3">
        <v>1</v>
      </c>
      <c r="G105" s="5">
        <v>600.16999999999996</v>
      </c>
      <c r="H105" s="3" t="s">
        <v>12</v>
      </c>
      <c r="I105" s="4">
        <v>44956</v>
      </c>
      <c r="J105" s="3" t="s">
        <v>29</v>
      </c>
      <c r="K105" s="10">
        <f t="shared" si="2"/>
        <v>600.16999999999996</v>
      </c>
      <c r="L105" s="25" t="str">
        <f t="shared" si="3"/>
        <v>45-54</v>
      </c>
    </row>
    <row r="106" spans="1:12" x14ac:dyDescent="0.45">
      <c r="A106" s="9" t="s">
        <v>415</v>
      </c>
      <c r="B106" s="3" t="s">
        <v>416</v>
      </c>
      <c r="C106" s="3" t="s">
        <v>14</v>
      </c>
      <c r="D106" s="6">
        <v>52</v>
      </c>
      <c r="E106" s="3" t="s">
        <v>27</v>
      </c>
      <c r="F106" s="3">
        <v>3</v>
      </c>
      <c r="G106" s="5">
        <v>107.52</v>
      </c>
      <c r="H106" s="3" t="s">
        <v>18</v>
      </c>
      <c r="I106" s="4">
        <v>44951</v>
      </c>
      <c r="J106" s="3" t="s">
        <v>23</v>
      </c>
      <c r="K106" s="10">
        <f t="shared" si="2"/>
        <v>322.56</v>
      </c>
      <c r="L106" s="25" t="str">
        <f t="shared" si="3"/>
        <v>45-54</v>
      </c>
    </row>
    <row r="107" spans="1:12" x14ac:dyDescent="0.45">
      <c r="A107" s="9" t="s">
        <v>419</v>
      </c>
      <c r="B107" s="3" t="s">
        <v>420</v>
      </c>
      <c r="C107" s="3" t="s">
        <v>14</v>
      </c>
      <c r="D107" s="6">
        <v>53</v>
      </c>
      <c r="E107" s="3" t="s">
        <v>25</v>
      </c>
      <c r="F107" s="3">
        <v>5</v>
      </c>
      <c r="G107" s="5">
        <v>26.15</v>
      </c>
      <c r="H107" s="3" t="s">
        <v>12</v>
      </c>
      <c r="I107" s="4">
        <v>44978</v>
      </c>
      <c r="J107" s="3" t="s">
        <v>23</v>
      </c>
      <c r="K107" s="10">
        <f t="shared" si="2"/>
        <v>130.75</v>
      </c>
      <c r="L107" s="25" t="str">
        <f t="shared" si="3"/>
        <v>45-54</v>
      </c>
    </row>
    <row r="108" spans="1:12" x14ac:dyDescent="0.45">
      <c r="A108" s="9" t="s">
        <v>425</v>
      </c>
      <c r="B108" s="3" t="s">
        <v>426</v>
      </c>
      <c r="C108" s="3" t="s">
        <v>10</v>
      </c>
      <c r="D108" s="6">
        <v>45</v>
      </c>
      <c r="E108" s="3" t="s">
        <v>22</v>
      </c>
      <c r="F108" s="3">
        <v>3</v>
      </c>
      <c r="G108" s="5">
        <v>121.98</v>
      </c>
      <c r="H108" s="3" t="s">
        <v>18</v>
      </c>
      <c r="I108" s="4">
        <v>44948</v>
      </c>
      <c r="J108" s="3" t="s">
        <v>24</v>
      </c>
      <c r="K108" s="10">
        <f t="shared" si="2"/>
        <v>365.94</v>
      </c>
      <c r="L108" s="25" t="str">
        <f t="shared" si="3"/>
        <v>45-54</v>
      </c>
    </row>
    <row r="109" spans="1:12" x14ac:dyDescent="0.45">
      <c r="A109" s="9" t="s">
        <v>433</v>
      </c>
      <c r="B109" s="3" t="s">
        <v>434</v>
      </c>
      <c r="C109" s="3" t="s">
        <v>14</v>
      </c>
      <c r="D109" s="6">
        <v>53</v>
      </c>
      <c r="E109" s="3" t="s">
        <v>25</v>
      </c>
      <c r="F109" s="3">
        <v>3</v>
      </c>
      <c r="G109" s="5">
        <v>15.69</v>
      </c>
      <c r="H109" s="3" t="s">
        <v>18</v>
      </c>
      <c r="I109" s="4">
        <v>44973</v>
      </c>
      <c r="J109" s="3" t="s">
        <v>13</v>
      </c>
      <c r="K109" s="10">
        <f t="shared" si="2"/>
        <v>47.07</v>
      </c>
      <c r="L109" s="25" t="str">
        <f t="shared" si="3"/>
        <v>45-54</v>
      </c>
    </row>
    <row r="110" spans="1:12" x14ac:dyDescent="0.45">
      <c r="A110" s="9" t="s">
        <v>437</v>
      </c>
      <c r="B110" s="3" t="s">
        <v>438</v>
      </c>
      <c r="C110" s="3" t="s">
        <v>14</v>
      </c>
      <c r="D110" s="6">
        <v>54</v>
      </c>
      <c r="E110" s="3" t="s">
        <v>11</v>
      </c>
      <c r="F110" s="3">
        <v>5</v>
      </c>
      <c r="G110" s="5">
        <v>1500.4</v>
      </c>
      <c r="H110" s="3" t="s">
        <v>18</v>
      </c>
      <c r="I110" s="4">
        <v>44961</v>
      </c>
      <c r="J110" s="3" t="s">
        <v>23</v>
      </c>
      <c r="K110" s="10">
        <f t="shared" si="2"/>
        <v>7502</v>
      </c>
      <c r="L110" s="25" t="str">
        <f t="shared" si="3"/>
        <v>45-54</v>
      </c>
    </row>
    <row r="111" spans="1:12" x14ac:dyDescent="0.45">
      <c r="A111" s="9" t="s">
        <v>463</v>
      </c>
      <c r="B111" s="3" t="s">
        <v>464</v>
      </c>
      <c r="C111" s="3" t="s">
        <v>10</v>
      </c>
      <c r="D111" s="6">
        <v>49</v>
      </c>
      <c r="E111" s="3" t="s">
        <v>11</v>
      </c>
      <c r="F111" s="3">
        <v>1</v>
      </c>
      <c r="G111" s="5">
        <v>300.08</v>
      </c>
      <c r="H111" s="3" t="s">
        <v>12</v>
      </c>
      <c r="I111" s="4">
        <v>44953</v>
      </c>
      <c r="J111" s="3" t="s">
        <v>30</v>
      </c>
      <c r="K111" s="10">
        <f t="shared" si="2"/>
        <v>300.08</v>
      </c>
      <c r="L111" s="25" t="str">
        <f t="shared" si="3"/>
        <v>45-54</v>
      </c>
    </row>
    <row r="112" spans="1:12" x14ac:dyDescent="0.45">
      <c r="A112" s="9" t="s">
        <v>469</v>
      </c>
      <c r="B112" s="3" t="s">
        <v>470</v>
      </c>
      <c r="C112" s="3" t="s">
        <v>10</v>
      </c>
      <c r="D112" s="6">
        <v>48</v>
      </c>
      <c r="E112" s="3" t="s">
        <v>11</v>
      </c>
      <c r="F112" s="3">
        <v>5</v>
      </c>
      <c r="G112" s="5">
        <v>1500.4</v>
      </c>
      <c r="H112" s="3" t="s">
        <v>16</v>
      </c>
      <c r="I112" s="4">
        <v>44986</v>
      </c>
      <c r="J112" s="3" t="s">
        <v>13</v>
      </c>
      <c r="K112" s="10">
        <f t="shared" si="2"/>
        <v>7502</v>
      </c>
      <c r="L112" s="25" t="str">
        <f t="shared" si="3"/>
        <v>45-54</v>
      </c>
    </row>
    <row r="113" spans="1:12" x14ac:dyDescent="0.45">
      <c r="A113" s="9" t="s">
        <v>471</v>
      </c>
      <c r="B113" s="3" t="s">
        <v>472</v>
      </c>
      <c r="C113" s="3" t="s">
        <v>10</v>
      </c>
      <c r="D113" s="6">
        <v>51</v>
      </c>
      <c r="E113" s="3" t="s">
        <v>25</v>
      </c>
      <c r="F113" s="3">
        <v>1</v>
      </c>
      <c r="G113" s="5">
        <v>5.23</v>
      </c>
      <c r="H113" s="3" t="s">
        <v>18</v>
      </c>
      <c r="I113" s="4">
        <v>44934</v>
      </c>
      <c r="J113" s="3" t="s">
        <v>13</v>
      </c>
      <c r="K113" s="10">
        <f t="shared" si="2"/>
        <v>5.23</v>
      </c>
      <c r="L113" s="25" t="str">
        <f t="shared" si="3"/>
        <v>45-54</v>
      </c>
    </row>
    <row r="114" spans="1:12" x14ac:dyDescent="0.45">
      <c r="A114" s="9" t="s">
        <v>475</v>
      </c>
      <c r="B114" s="3" t="s">
        <v>476</v>
      </c>
      <c r="C114" s="3" t="s">
        <v>10</v>
      </c>
      <c r="D114" s="6">
        <v>54</v>
      </c>
      <c r="E114" s="3" t="s">
        <v>11</v>
      </c>
      <c r="F114" s="3">
        <v>5</v>
      </c>
      <c r="G114" s="5">
        <v>1500.4</v>
      </c>
      <c r="H114" s="3" t="s">
        <v>16</v>
      </c>
      <c r="I114" s="4">
        <v>44956</v>
      </c>
      <c r="J114" s="3" t="s">
        <v>13</v>
      </c>
      <c r="K114" s="10">
        <f t="shared" si="2"/>
        <v>7502</v>
      </c>
      <c r="L114" s="25" t="str">
        <f t="shared" si="3"/>
        <v>45-54</v>
      </c>
    </row>
    <row r="115" spans="1:12" x14ac:dyDescent="0.45">
      <c r="A115" s="9" t="s">
        <v>477</v>
      </c>
      <c r="B115" s="3" t="s">
        <v>478</v>
      </c>
      <c r="C115" s="3" t="s">
        <v>10</v>
      </c>
      <c r="D115" s="6">
        <v>49</v>
      </c>
      <c r="E115" s="3" t="s">
        <v>11</v>
      </c>
      <c r="F115" s="3">
        <v>4</v>
      </c>
      <c r="G115" s="5">
        <v>1200.32</v>
      </c>
      <c r="H115" s="3" t="s">
        <v>16</v>
      </c>
      <c r="I115" s="4">
        <v>44940</v>
      </c>
      <c r="J115" s="3" t="s">
        <v>24</v>
      </c>
      <c r="K115" s="10">
        <f t="shared" si="2"/>
        <v>4801.28</v>
      </c>
      <c r="L115" s="25" t="str">
        <f t="shared" si="3"/>
        <v>45-54</v>
      </c>
    </row>
    <row r="116" spans="1:12" x14ac:dyDescent="0.45">
      <c r="A116" s="9" t="s">
        <v>483</v>
      </c>
      <c r="B116" s="3" t="s">
        <v>484</v>
      </c>
      <c r="C116" s="3" t="s">
        <v>10</v>
      </c>
      <c r="D116" s="6">
        <v>49</v>
      </c>
      <c r="E116" s="3" t="s">
        <v>22</v>
      </c>
      <c r="F116" s="3">
        <v>1</v>
      </c>
      <c r="G116" s="5">
        <v>40.659999999999997</v>
      </c>
      <c r="H116" s="3" t="s">
        <v>18</v>
      </c>
      <c r="I116" s="4">
        <v>44950</v>
      </c>
      <c r="J116" s="3" t="s">
        <v>24</v>
      </c>
      <c r="K116" s="10">
        <f t="shared" si="2"/>
        <v>40.659999999999997</v>
      </c>
      <c r="L116" s="25" t="str">
        <f t="shared" si="3"/>
        <v>45-54</v>
      </c>
    </row>
    <row r="117" spans="1:12" x14ac:dyDescent="0.45">
      <c r="A117" s="9" t="s">
        <v>491</v>
      </c>
      <c r="B117" s="3" t="s">
        <v>492</v>
      </c>
      <c r="C117" s="3" t="s">
        <v>14</v>
      </c>
      <c r="D117" s="6">
        <v>47</v>
      </c>
      <c r="E117" s="3" t="s">
        <v>22</v>
      </c>
      <c r="F117" s="3">
        <v>4</v>
      </c>
      <c r="G117" s="5">
        <v>162.63999999999999</v>
      </c>
      <c r="H117" s="3" t="s">
        <v>12</v>
      </c>
      <c r="I117" s="4">
        <v>44961</v>
      </c>
      <c r="J117" s="3" t="s">
        <v>23</v>
      </c>
      <c r="K117" s="10">
        <f t="shared" si="2"/>
        <v>650.55999999999995</v>
      </c>
      <c r="L117" s="25" t="str">
        <f t="shared" si="3"/>
        <v>45-54</v>
      </c>
    </row>
    <row r="118" spans="1:12" x14ac:dyDescent="0.45">
      <c r="A118" s="9" t="s">
        <v>501</v>
      </c>
      <c r="B118" s="3" t="s">
        <v>502</v>
      </c>
      <c r="C118" s="3" t="s">
        <v>14</v>
      </c>
      <c r="D118" s="6">
        <v>48</v>
      </c>
      <c r="E118" s="3" t="s">
        <v>11</v>
      </c>
      <c r="F118" s="3">
        <v>5</v>
      </c>
      <c r="G118" s="5">
        <v>1500.4</v>
      </c>
      <c r="H118" s="3" t="s">
        <v>12</v>
      </c>
      <c r="I118" s="4">
        <v>44949</v>
      </c>
      <c r="J118" s="3" t="s">
        <v>20</v>
      </c>
      <c r="K118" s="10">
        <f t="shared" si="2"/>
        <v>7502</v>
      </c>
      <c r="L118" s="25" t="str">
        <f t="shared" si="3"/>
        <v>45-54</v>
      </c>
    </row>
    <row r="119" spans="1:12" x14ac:dyDescent="0.45">
      <c r="A119" s="9" t="s">
        <v>515</v>
      </c>
      <c r="B119" s="3" t="s">
        <v>516</v>
      </c>
      <c r="C119" s="3" t="s">
        <v>14</v>
      </c>
      <c r="D119" s="6">
        <v>54</v>
      </c>
      <c r="E119" s="3" t="s">
        <v>11</v>
      </c>
      <c r="F119" s="3">
        <v>2</v>
      </c>
      <c r="G119" s="5">
        <v>600.16</v>
      </c>
      <c r="H119" s="3" t="s">
        <v>18</v>
      </c>
      <c r="I119" s="4">
        <v>44928</v>
      </c>
      <c r="J119" s="3" t="s">
        <v>24</v>
      </c>
      <c r="K119" s="10">
        <f t="shared" si="2"/>
        <v>1200.32</v>
      </c>
      <c r="L119" s="25" t="str">
        <f t="shared" si="3"/>
        <v>45-54</v>
      </c>
    </row>
    <row r="120" spans="1:12" x14ac:dyDescent="0.45">
      <c r="A120" s="9" t="s">
        <v>40</v>
      </c>
      <c r="B120" s="3" t="s">
        <v>41</v>
      </c>
      <c r="C120" s="3" t="s">
        <v>10</v>
      </c>
      <c r="D120" s="6">
        <v>41</v>
      </c>
      <c r="E120" s="3" t="s">
        <v>21</v>
      </c>
      <c r="F120" s="3">
        <v>3</v>
      </c>
      <c r="G120" s="5">
        <v>45.45</v>
      </c>
      <c r="H120" s="3" t="s">
        <v>18</v>
      </c>
      <c r="I120" s="4">
        <v>44981</v>
      </c>
      <c r="J120" s="3" t="s">
        <v>23</v>
      </c>
      <c r="K120" s="10">
        <f t="shared" si="2"/>
        <v>136.35000000000002</v>
      </c>
      <c r="L120" s="25" t="str">
        <f t="shared" si="3"/>
        <v>35-44</v>
      </c>
    </row>
    <row r="121" spans="1:12" x14ac:dyDescent="0.45">
      <c r="A121" s="9" t="s">
        <v>57</v>
      </c>
      <c r="B121" s="3" t="s">
        <v>58</v>
      </c>
      <c r="C121" s="3" t="s">
        <v>14</v>
      </c>
      <c r="D121" s="6">
        <v>37</v>
      </c>
      <c r="E121" s="3" t="s">
        <v>11</v>
      </c>
      <c r="F121" s="3">
        <v>5</v>
      </c>
      <c r="G121" s="5">
        <v>1500.4</v>
      </c>
      <c r="H121" s="3" t="s">
        <v>18</v>
      </c>
      <c r="I121" s="4">
        <v>44966</v>
      </c>
      <c r="J121" s="3" t="s">
        <v>26</v>
      </c>
      <c r="K121" s="10">
        <f t="shared" si="2"/>
        <v>7502</v>
      </c>
      <c r="L121" s="25" t="str">
        <f t="shared" si="3"/>
        <v>35-44</v>
      </c>
    </row>
    <row r="122" spans="1:12" x14ac:dyDescent="0.45">
      <c r="A122" s="9" t="s">
        <v>73</v>
      </c>
      <c r="B122" s="3" t="s">
        <v>74</v>
      </c>
      <c r="C122" s="3" t="s">
        <v>10</v>
      </c>
      <c r="D122" s="6">
        <v>44</v>
      </c>
      <c r="E122" s="3" t="s">
        <v>15</v>
      </c>
      <c r="F122" s="3">
        <v>2</v>
      </c>
      <c r="G122" s="5">
        <v>1200.3399999999999</v>
      </c>
      <c r="H122" s="3" t="s">
        <v>12</v>
      </c>
      <c r="I122" s="4">
        <v>44938</v>
      </c>
      <c r="J122" s="3" t="s">
        <v>13</v>
      </c>
      <c r="K122" s="10">
        <f t="shared" si="2"/>
        <v>2400.6799999999998</v>
      </c>
      <c r="L122" s="25" t="str">
        <f t="shared" si="3"/>
        <v>35-44</v>
      </c>
    </row>
    <row r="123" spans="1:12" x14ac:dyDescent="0.45">
      <c r="A123" s="9" t="s">
        <v>83</v>
      </c>
      <c r="B123" s="3" t="s">
        <v>84</v>
      </c>
      <c r="C123" s="3" t="s">
        <v>14</v>
      </c>
      <c r="D123" s="6">
        <v>39</v>
      </c>
      <c r="E123" s="3" t="s">
        <v>27</v>
      </c>
      <c r="F123" s="3">
        <v>3</v>
      </c>
      <c r="G123" s="5">
        <v>107.52</v>
      </c>
      <c r="H123" s="3" t="s">
        <v>12</v>
      </c>
      <c r="I123" s="4">
        <v>44952</v>
      </c>
      <c r="J123" s="3" t="s">
        <v>24</v>
      </c>
      <c r="K123" s="10">
        <f t="shared" si="2"/>
        <v>322.56</v>
      </c>
      <c r="L123" s="25" t="str">
        <f t="shared" si="3"/>
        <v>35-44</v>
      </c>
    </row>
    <row r="124" spans="1:12" x14ac:dyDescent="0.45">
      <c r="A124" s="9" t="s">
        <v>85</v>
      </c>
      <c r="B124" s="3" t="s">
        <v>86</v>
      </c>
      <c r="C124" s="3" t="s">
        <v>10</v>
      </c>
      <c r="D124" s="6">
        <v>35</v>
      </c>
      <c r="E124" s="3" t="s">
        <v>22</v>
      </c>
      <c r="F124" s="3">
        <v>5</v>
      </c>
      <c r="G124" s="5">
        <v>203.3</v>
      </c>
      <c r="H124" s="3" t="s">
        <v>16</v>
      </c>
      <c r="I124" s="4">
        <v>44951</v>
      </c>
      <c r="J124" s="3" t="s">
        <v>28</v>
      </c>
      <c r="K124" s="10">
        <f t="shared" si="2"/>
        <v>1016.5</v>
      </c>
      <c r="L124" s="25" t="str">
        <f t="shared" si="3"/>
        <v>35-44</v>
      </c>
    </row>
    <row r="125" spans="1:12" x14ac:dyDescent="0.45">
      <c r="A125" s="9" t="s">
        <v>117</v>
      </c>
      <c r="B125" s="3" t="s">
        <v>118</v>
      </c>
      <c r="C125" s="3" t="s">
        <v>10</v>
      </c>
      <c r="D125" s="6">
        <v>42</v>
      </c>
      <c r="E125" s="3" t="s">
        <v>27</v>
      </c>
      <c r="F125" s="3">
        <v>1</v>
      </c>
      <c r="G125" s="5">
        <v>35.840000000000003</v>
      </c>
      <c r="H125" s="3" t="s">
        <v>16</v>
      </c>
      <c r="I125" s="4">
        <v>44927</v>
      </c>
      <c r="J125" s="3" t="s">
        <v>23</v>
      </c>
      <c r="K125" s="10">
        <f t="shared" si="2"/>
        <v>35.840000000000003</v>
      </c>
      <c r="L125" s="25" t="str">
        <f t="shared" si="3"/>
        <v>35-44</v>
      </c>
    </row>
    <row r="126" spans="1:12" x14ac:dyDescent="0.45">
      <c r="A126" s="9" t="s">
        <v>123</v>
      </c>
      <c r="B126" s="3" t="s">
        <v>124</v>
      </c>
      <c r="C126" s="3" t="s">
        <v>10</v>
      </c>
      <c r="D126" s="6">
        <v>43</v>
      </c>
      <c r="E126" s="3" t="s">
        <v>25</v>
      </c>
      <c r="F126" s="3">
        <v>2</v>
      </c>
      <c r="G126" s="5">
        <v>10.46</v>
      </c>
      <c r="H126" s="3" t="s">
        <v>12</v>
      </c>
      <c r="I126" s="4">
        <v>44947</v>
      </c>
      <c r="J126" s="3" t="s">
        <v>20</v>
      </c>
      <c r="K126" s="10">
        <f t="shared" si="2"/>
        <v>20.92</v>
      </c>
      <c r="L126" s="25" t="str">
        <f t="shared" si="3"/>
        <v>35-44</v>
      </c>
    </row>
    <row r="127" spans="1:12" x14ac:dyDescent="0.45">
      <c r="A127" s="9" t="s">
        <v>125</v>
      </c>
      <c r="B127" s="3" t="s">
        <v>126</v>
      </c>
      <c r="C127" s="3" t="s">
        <v>10</v>
      </c>
      <c r="D127" s="6">
        <v>36</v>
      </c>
      <c r="E127" s="3" t="s">
        <v>21</v>
      </c>
      <c r="F127" s="3">
        <v>3</v>
      </c>
      <c r="G127" s="5">
        <v>45.45</v>
      </c>
      <c r="H127" s="3" t="s">
        <v>12</v>
      </c>
      <c r="I127" s="4">
        <v>44959</v>
      </c>
      <c r="J127" s="3" t="s">
        <v>19</v>
      </c>
      <c r="K127" s="10">
        <f t="shared" si="2"/>
        <v>136.35000000000002</v>
      </c>
      <c r="L127" s="25" t="str">
        <f t="shared" si="3"/>
        <v>35-44</v>
      </c>
    </row>
    <row r="128" spans="1:12" x14ac:dyDescent="0.45">
      <c r="A128" s="9" t="s">
        <v>139</v>
      </c>
      <c r="B128" s="3" t="s">
        <v>140</v>
      </c>
      <c r="C128" s="3" t="s">
        <v>10</v>
      </c>
      <c r="D128" s="6">
        <v>35</v>
      </c>
      <c r="E128" s="3" t="s">
        <v>44</v>
      </c>
      <c r="F128" s="3">
        <v>5</v>
      </c>
      <c r="G128" s="5">
        <v>58.65</v>
      </c>
      <c r="H128" s="3" t="s">
        <v>18</v>
      </c>
      <c r="I128" s="4">
        <v>44983</v>
      </c>
      <c r="J128" s="3" t="s">
        <v>20</v>
      </c>
      <c r="K128" s="10">
        <f t="shared" si="2"/>
        <v>293.25</v>
      </c>
      <c r="L128" s="25" t="str">
        <f t="shared" si="3"/>
        <v>35-44</v>
      </c>
    </row>
    <row r="129" spans="1:12" x14ac:dyDescent="0.45">
      <c r="A129" s="9" t="s">
        <v>143</v>
      </c>
      <c r="B129" s="3" t="s">
        <v>144</v>
      </c>
      <c r="C129" s="3" t="s">
        <v>14</v>
      </c>
      <c r="D129" s="6">
        <v>38</v>
      </c>
      <c r="E129" s="3" t="s">
        <v>11</v>
      </c>
      <c r="F129" s="3">
        <v>4</v>
      </c>
      <c r="G129" s="5">
        <v>1200.32</v>
      </c>
      <c r="H129" s="3" t="s">
        <v>18</v>
      </c>
      <c r="I129" s="4">
        <v>44944</v>
      </c>
      <c r="J129" s="3" t="s">
        <v>23</v>
      </c>
      <c r="K129" s="10">
        <f t="shared" si="2"/>
        <v>4801.28</v>
      </c>
      <c r="L129" s="25" t="str">
        <f t="shared" si="3"/>
        <v>35-44</v>
      </c>
    </row>
    <row r="130" spans="1:12" x14ac:dyDescent="0.45">
      <c r="A130" s="9" t="s">
        <v>163</v>
      </c>
      <c r="B130" s="3" t="s">
        <v>164</v>
      </c>
      <c r="C130" s="3" t="s">
        <v>10</v>
      </c>
      <c r="D130" s="6">
        <v>42</v>
      </c>
      <c r="E130" s="3" t="s">
        <v>15</v>
      </c>
      <c r="F130" s="3">
        <v>3</v>
      </c>
      <c r="G130" s="5">
        <v>1800.51</v>
      </c>
      <c r="H130" s="3" t="s">
        <v>18</v>
      </c>
      <c r="I130" s="4">
        <v>44955</v>
      </c>
      <c r="J130" s="3" t="s">
        <v>19</v>
      </c>
      <c r="K130" s="10">
        <f t="shared" ref="K130:K193" si="4">F130*G130</f>
        <v>5401.53</v>
      </c>
      <c r="L130" s="25" t="str">
        <f t="shared" ref="L130:L193" si="5">IF(AND(D130&gt;=65,D130&lt;=69),"65-69",IF(AND(D130&gt;=55,D130&lt;=64),"55-64",IF(AND(D130&gt;=45,D130&lt;= 54),"45-54", IF(AND(D130&gt;=35,D130&lt;=44),"35-44", IF(AND(D130&gt;=25,D130&lt;=34),"25-34",IF(AND(D130&gt;=18,D130&lt;=24),"18-24","invalid"))))))</f>
        <v>35-44</v>
      </c>
    </row>
    <row r="131" spans="1:12" x14ac:dyDescent="0.45">
      <c r="A131" s="9" t="s">
        <v>183</v>
      </c>
      <c r="B131" s="3" t="s">
        <v>184</v>
      </c>
      <c r="C131" s="3" t="s">
        <v>14</v>
      </c>
      <c r="D131" s="6">
        <v>37</v>
      </c>
      <c r="E131" s="3" t="s">
        <v>11</v>
      </c>
      <c r="F131" s="3">
        <v>3</v>
      </c>
      <c r="G131" s="5">
        <v>900.24</v>
      </c>
      <c r="H131" s="3" t="s">
        <v>12</v>
      </c>
      <c r="I131" s="4">
        <v>44942</v>
      </c>
      <c r="J131" s="3" t="s">
        <v>13</v>
      </c>
      <c r="K131" s="10">
        <f t="shared" si="4"/>
        <v>2700.7200000000003</v>
      </c>
      <c r="L131" s="25" t="str">
        <f t="shared" si="5"/>
        <v>35-44</v>
      </c>
    </row>
    <row r="132" spans="1:12" x14ac:dyDescent="0.45">
      <c r="A132" s="9" t="s">
        <v>203</v>
      </c>
      <c r="B132" s="3" t="s">
        <v>204</v>
      </c>
      <c r="C132" s="3" t="s">
        <v>14</v>
      </c>
      <c r="D132" s="6">
        <v>44</v>
      </c>
      <c r="E132" s="3" t="s">
        <v>22</v>
      </c>
      <c r="F132" s="3">
        <v>3</v>
      </c>
      <c r="G132" s="5">
        <v>121.98</v>
      </c>
      <c r="H132" s="3" t="s">
        <v>12</v>
      </c>
      <c r="I132" s="4">
        <v>44989</v>
      </c>
      <c r="J132" s="3" t="s">
        <v>28</v>
      </c>
      <c r="K132" s="10">
        <f t="shared" si="4"/>
        <v>365.94</v>
      </c>
      <c r="L132" s="25" t="str">
        <f t="shared" si="5"/>
        <v>35-44</v>
      </c>
    </row>
    <row r="133" spans="1:12" x14ac:dyDescent="0.45">
      <c r="A133" s="9" t="s">
        <v>205</v>
      </c>
      <c r="B133" s="3" t="s">
        <v>206</v>
      </c>
      <c r="C133" s="3" t="s">
        <v>14</v>
      </c>
      <c r="D133" s="6">
        <v>40</v>
      </c>
      <c r="E133" s="3" t="s">
        <v>11</v>
      </c>
      <c r="F133" s="3">
        <v>3</v>
      </c>
      <c r="G133" s="5">
        <v>900.24</v>
      </c>
      <c r="H133" s="3" t="s">
        <v>16</v>
      </c>
      <c r="I133" s="4">
        <v>44935</v>
      </c>
      <c r="J133" s="3" t="s">
        <v>26</v>
      </c>
      <c r="K133" s="10">
        <f t="shared" si="4"/>
        <v>2700.7200000000003</v>
      </c>
      <c r="L133" s="25" t="str">
        <f t="shared" si="5"/>
        <v>35-44</v>
      </c>
    </row>
    <row r="134" spans="1:12" x14ac:dyDescent="0.45">
      <c r="A134" s="9" t="s">
        <v>219</v>
      </c>
      <c r="B134" s="3" t="s">
        <v>220</v>
      </c>
      <c r="C134" s="3" t="s">
        <v>10</v>
      </c>
      <c r="D134" s="6">
        <v>36</v>
      </c>
      <c r="E134" s="3" t="s">
        <v>22</v>
      </c>
      <c r="F134" s="3">
        <v>1</v>
      </c>
      <c r="G134" s="5">
        <v>40.659999999999997</v>
      </c>
      <c r="H134" s="3" t="s">
        <v>16</v>
      </c>
      <c r="I134" s="4">
        <v>44969</v>
      </c>
      <c r="J134" s="3" t="s">
        <v>26</v>
      </c>
      <c r="K134" s="10">
        <f t="shared" si="4"/>
        <v>40.659999999999997</v>
      </c>
      <c r="L134" s="25" t="str">
        <f t="shared" si="5"/>
        <v>35-44</v>
      </c>
    </row>
    <row r="135" spans="1:12" x14ac:dyDescent="0.45">
      <c r="A135" s="9" t="s">
        <v>225</v>
      </c>
      <c r="B135" s="3" t="s">
        <v>226</v>
      </c>
      <c r="C135" s="3" t="s">
        <v>10</v>
      </c>
      <c r="D135" s="6">
        <v>38</v>
      </c>
      <c r="E135" s="3" t="s">
        <v>11</v>
      </c>
      <c r="F135" s="3">
        <v>4</v>
      </c>
      <c r="G135" s="5">
        <v>1200.32</v>
      </c>
      <c r="H135" s="3" t="s">
        <v>16</v>
      </c>
      <c r="I135" s="4">
        <v>44992</v>
      </c>
      <c r="J135" s="3" t="s">
        <v>13</v>
      </c>
      <c r="K135" s="10">
        <f t="shared" si="4"/>
        <v>4801.28</v>
      </c>
      <c r="L135" s="25" t="str">
        <f t="shared" si="5"/>
        <v>35-44</v>
      </c>
    </row>
    <row r="136" spans="1:12" x14ac:dyDescent="0.45">
      <c r="A136" s="9" t="s">
        <v>239</v>
      </c>
      <c r="B136" s="3" t="s">
        <v>240</v>
      </c>
      <c r="C136" s="3" t="s">
        <v>10</v>
      </c>
      <c r="D136" s="6">
        <v>42</v>
      </c>
      <c r="E136" s="3" t="s">
        <v>11</v>
      </c>
      <c r="F136" s="3">
        <v>5</v>
      </c>
      <c r="G136" s="5">
        <v>1500.4</v>
      </c>
      <c r="H136" s="3" t="s">
        <v>12</v>
      </c>
      <c r="I136" s="4">
        <v>44956</v>
      </c>
      <c r="J136" s="3" t="s">
        <v>24</v>
      </c>
      <c r="K136" s="10">
        <f t="shared" si="4"/>
        <v>7502</v>
      </c>
      <c r="L136" s="25" t="str">
        <f t="shared" si="5"/>
        <v>35-44</v>
      </c>
    </row>
    <row r="137" spans="1:12" x14ac:dyDescent="0.45">
      <c r="A137" s="9" t="s">
        <v>245</v>
      </c>
      <c r="B137" s="3" t="s">
        <v>246</v>
      </c>
      <c r="C137" s="3" t="s">
        <v>14</v>
      </c>
      <c r="D137" s="6">
        <v>39</v>
      </c>
      <c r="E137" s="3" t="s">
        <v>22</v>
      </c>
      <c r="F137" s="3">
        <v>4</v>
      </c>
      <c r="G137" s="5">
        <v>162.63999999999999</v>
      </c>
      <c r="H137" s="3" t="s">
        <v>12</v>
      </c>
      <c r="I137" s="4">
        <v>44943</v>
      </c>
      <c r="J137" s="3" t="s">
        <v>26</v>
      </c>
      <c r="K137" s="10">
        <f t="shared" si="4"/>
        <v>650.55999999999995</v>
      </c>
      <c r="L137" s="25" t="str">
        <f t="shared" si="5"/>
        <v>35-44</v>
      </c>
    </row>
    <row r="138" spans="1:12" x14ac:dyDescent="0.45">
      <c r="A138" s="9" t="s">
        <v>271</v>
      </c>
      <c r="B138" s="3" t="s">
        <v>272</v>
      </c>
      <c r="C138" s="3" t="s">
        <v>10</v>
      </c>
      <c r="D138" s="6">
        <v>41</v>
      </c>
      <c r="E138" s="3" t="s">
        <v>21</v>
      </c>
      <c r="F138" s="3">
        <v>3</v>
      </c>
      <c r="G138" s="5">
        <v>45.45</v>
      </c>
      <c r="H138" s="3" t="s">
        <v>18</v>
      </c>
      <c r="I138" s="4">
        <v>44949</v>
      </c>
      <c r="J138" s="3" t="s">
        <v>24</v>
      </c>
      <c r="K138" s="10">
        <f t="shared" si="4"/>
        <v>136.35000000000002</v>
      </c>
      <c r="L138" s="25" t="str">
        <f t="shared" si="5"/>
        <v>35-44</v>
      </c>
    </row>
    <row r="139" spans="1:12" x14ac:dyDescent="0.45">
      <c r="A139" s="9" t="s">
        <v>281</v>
      </c>
      <c r="B139" s="3" t="s">
        <v>282</v>
      </c>
      <c r="C139" s="3" t="s">
        <v>10</v>
      </c>
      <c r="D139" s="6">
        <v>41</v>
      </c>
      <c r="E139" s="3" t="s">
        <v>25</v>
      </c>
      <c r="F139" s="3">
        <v>5</v>
      </c>
      <c r="G139" s="5">
        <v>26.15</v>
      </c>
      <c r="H139" s="3" t="s">
        <v>16</v>
      </c>
      <c r="I139" s="4">
        <v>44931</v>
      </c>
      <c r="J139" s="3" t="s">
        <v>24</v>
      </c>
      <c r="K139" s="10">
        <f t="shared" si="4"/>
        <v>130.75</v>
      </c>
      <c r="L139" s="25" t="str">
        <f t="shared" si="5"/>
        <v>35-44</v>
      </c>
    </row>
    <row r="140" spans="1:12" x14ac:dyDescent="0.45">
      <c r="A140" s="9" t="s">
        <v>289</v>
      </c>
      <c r="B140" s="3" t="s">
        <v>290</v>
      </c>
      <c r="C140" s="3" t="s">
        <v>10</v>
      </c>
      <c r="D140" s="6">
        <v>42</v>
      </c>
      <c r="E140" s="3" t="s">
        <v>22</v>
      </c>
      <c r="F140" s="3">
        <v>2</v>
      </c>
      <c r="G140" s="5">
        <v>81.319999999999993</v>
      </c>
      <c r="H140" s="3" t="s">
        <v>16</v>
      </c>
      <c r="I140" s="4">
        <v>44975</v>
      </c>
      <c r="J140" s="3" t="s">
        <v>13</v>
      </c>
      <c r="K140" s="10">
        <f t="shared" si="4"/>
        <v>162.63999999999999</v>
      </c>
      <c r="L140" s="25" t="str">
        <f t="shared" si="5"/>
        <v>35-44</v>
      </c>
    </row>
    <row r="141" spans="1:12" x14ac:dyDescent="0.45">
      <c r="A141" s="9" t="s">
        <v>291</v>
      </c>
      <c r="B141" s="3" t="s">
        <v>292</v>
      </c>
      <c r="C141" s="3" t="s">
        <v>10</v>
      </c>
      <c r="D141" s="6">
        <v>43</v>
      </c>
      <c r="E141" s="3" t="s">
        <v>11</v>
      </c>
      <c r="F141" s="3">
        <v>5</v>
      </c>
      <c r="G141" s="5">
        <v>1500.4</v>
      </c>
      <c r="H141" s="3" t="s">
        <v>18</v>
      </c>
      <c r="I141" s="4">
        <v>44978</v>
      </c>
      <c r="J141" s="3" t="s">
        <v>20</v>
      </c>
      <c r="K141" s="10">
        <f t="shared" si="4"/>
        <v>7502</v>
      </c>
      <c r="L141" s="25" t="str">
        <f t="shared" si="5"/>
        <v>35-44</v>
      </c>
    </row>
    <row r="142" spans="1:12" x14ac:dyDescent="0.45">
      <c r="A142" s="9" t="s">
        <v>307</v>
      </c>
      <c r="B142" s="3" t="s">
        <v>308</v>
      </c>
      <c r="C142" s="3" t="s">
        <v>10</v>
      </c>
      <c r="D142" s="6">
        <v>36</v>
      </c>
      <c r="E142" s="3" t="s">
        <v>11</v>
      </c>
      <c r="F142" s="3">
        <v>1</v>
      </c>
      <c r="G142" s="5">
        <v>300.08</v>
      </c>
      <c r="H142" s="3" t="s">
        <v>18</v>
      </c>
      <c r="I142" s="4">
        <v>44955</v>
      </c>
      <c r="J142" s="3" t="s">
        <v>29</v>
      </c>
      <c r="K142" s="10">
        <f t="shared" si="4"/>
        <v>300.08</v>
      </c>
      <c r="L142" s="25" t="str">
        <f t="shared" si="5"/>
        <v>35-44</v>
      </c>
    </row>
    <row r="143" spans="1:12" x14ac:dyDescent="0.45">
      <c r="A143" s="9" t="s">
        <v>311</v>
      </c>
      <c r="B143" s="3" t="s">
        <v>312</v>
      </c>
      <c r="C143" s="3" t="s">
        <v>10</v>
      </c>
      <c r="D143" s="6">
        <v>38</v>
      </c>
      <c r="E143" s="3" t="s">
        <v>25</v>
      </c>
      <c r="F143" s="3">
        <v>2</v>
      </c>
      <c r="G143" s="5">
        <v>10.46</v>
      </c>
      <c r="H143" s="3" t="s">
        <v>18</v>
      </c>
      <c r="I143" s="4">
        <v>44957</v>
      </c>
      <c r="J143" s="3" t="s">
        <v>13</v>
      </c>
      <c r="K143" s="10">
        <f t="shared" si="4"/>
        <v>20.92</v>
      </c>
      <c r="L143" s="25" t="str">
        <f t="shared" si="5"/>
        <v>35-44</v>
      </c>
    </row>
    <row r="144" spans="1:12" x14ac:dyDescent="0.45">
      <c r="A144" s="9" t="s">
        <v>313</v>
      </c>
      <c r="B144" s="3" t="s">
        <v>314</v>
      </c>
      <c r="C144" s="3" t="s">
        <v>10</v>
      </c>
      <c r="D144" s="6">
        <v>36</v>
      </c>
      <c r="E144" s="3" t="s">
        <v>22</v>
      </c>
      <c r="F144" s="3">
        <v>3</v>
      </c>
      <c r="G144" s="5">
        <v>121.98</v>
      </c>
      <c r="H144" s="3" t="s">
        <v>16</v>
      </c>
      <c r="I144" s="4">
        <v>44938</v>
      </c>
      <c r="J144" s="3" t="s">
        <v>30</v>
      </c>
      <c r="K144" s="10">
        <f t="shared" si="4"/>
        <v>365.94</v>
      </c>
      <c r="L144" s="25" t="str">
        <f t="shared" si="5"/>
        <v>35-44</v>
      </c>
    </row>
    <row r="145" spans="1:12" x14ac:dyDescent="0.45">
      <c r="A145" s="9" t="s">
        <v>319</v>
      </c>
      <c r="B145" s="3" t="s">
        <v>320</v>
      </c>
      <c r="C145" s="3" t="s">
        <v>14</v>
      </c>
      <c r="D145" s="6">
        <v>39</v>
      </c>
      <c r="E145" s="3" t="s">
        <v>21</v>
      </c>
      <c r="F145" s="3">
        <v>2</v>
      </c>
      <c r="G145" s="5">
        <v>30.3</v>
      </c>
      <c r="H145" s="3" t="s">
        <v>18</v>
      </c>
      <c r="I145" s="4">
        <v>44990</v>
      </c>
      <c r="J145" s="3" t="s">
        <v>19</v>
      </c>
      <c r="K145" s="10">
        <f t="shared" si="4"/>
        <v>60.6</v>
      </c>
      <c r="L145" s="25" t="str">
        <f t="shared" si="5"/>
        <v>35-44</v>
      </c>
    </row>
    <row r="146" spans="1:12" x14ac:dyDescent="0.45">
      <c r="A146" s="9" t="s">
        <v>321</v>
      </c>
      <c r="B146" s="3" t="s">
        <v>322</v>
      </c>
      <c r="C146" s="3" t="s">
        <v>10</v>
      </c>
      <c r="D146" s="6">
        <v>35</v>
      </c>
      <c r="E146" s="3" t="s">
        <v>11</v>
      </c>
      <c r="F146" s="3">
        <v>1</v>
      </c>
      <c r="G146" s="5">
        <v>300.08</v>
      </c>
      <c r="H146" s="3" t="s">
        <v>18</v>
      </c>
      <c r="I146" s="4">
        <v>44965</v>
      </c>
      <c r="J146" s="3" t="s">
        <v>29</v>
      </c>
      <c r="K146" s="10">
        <f t="shared" si="4"/>
        <v>300.08</v>
      </c>
      <c r="L146" s="25" t="str">
        <f t="shared" si="5"/>
        <v>35-44</v>
      </c>
    </row>
    <row r="147" spans="1:12" x14ac:dyDescent="0.45">
      <c r="A147" s="9" t="s">
        <v>323</v>
      </c>
      <c r="B147" s="3" t="s">
        <v>324</v>
      </c>
      <c r="C147" s="3" t="s">
        <v>14</v>
      </c>
      <c r="D147" s="6">
        <v>39</v>
      </c>
      <c r="E147" s="3" t="s">
        <v>22</v>
      </c>
      <c r="F147" s="3">
        <v>5</v>
      </c>
      <c r="G147" s="5">
        <v>203.3</v>
      </c>
      <c r="H147" s="3" t="s">
        <v>16</v>
      </c>
      <c r="I147" s="4">
        <v>44964</v>
      </c>
      <c r="J147" s="3" t="s">
        <v>30</v>
      </c>
      <c r="K147" s="10">
        <f t="shared" si="4"/>
        <v>1016.5</v>
      </c>
      <c r="L147" s="25" t="str">
        <f t="shared" si="5"/>
        <v>35-44</v>
      </c>
    </row>
    <row r="148" spans="1:12" x14ac:dyDescent="0.45">
      <c r="A148" s="9" t="s">
        <v>333</v>
      </c>
      <c r="B148" s="3" t="s">
        <v>334</v>
      </c>
      <c r="C148" s="3" t="s">
        <v>10</v>
      </c>
      <c r="D148" s="6">
        <v>39</v>
      </c>
      <c r="E148" s="3" t="s">
        <v>25</v>
      </c>
      <c r="F148" s="3">
        <v>5</v>
      </c>
      <c r="G148" s="5">
        <v>26.15</v>
      </c>
      <c r="H148" s="3" t="s">
        <v>18</v>
      </c>
      <c r="I148" s="4">
        <v>44958</v>
      </c>
      <c r="J148" s="3" t="s">
        <v>24</v>
      </c>
      <c r="K148" s="10">
        <f t="shared" si="4"/>
        <v>130.75</v>
      </c>
      <c r="L148" s="25" t="str">
        <f t="shared" si="5"/>
        <v>35-44</v>
      </c>
    </row>
    <row r="149" spans="1:12" x14ac:dyDescent="0.45">
      <c r="A149" s="9" t="s">
        <v>341</v>
      </c>
      <c r="B149" s="3" t="s">
        <v>342</v>
      </c>
      <c r="C149" s="3" t="s">
        <v>14</v>
      </c>
      <c r="D149" s="6">
        <v>36</v>
      </c>
      <c r="E149" s="3" t="s">
        <v>22</v>
      </c>
      <c r="F149" s="3">
        <v>3</v>
      </c>
      <c r="G149" s="5">
        <v>121.98</v>
      </c>
      <c r="H149" s="3" t="s">
        <v>18</v>
      </c>
      <c r="I149" s="4">
        <v>44935</v>
      </c>
      <c r="J149" s="3" t="s">
        <v>19</v>
      </c>
      <c r="K149" s="10">
        <f t="shared" si="4"/>
        <v>365.94</v>
      </c>
      <c r="L149" s="25" t="str">
        <f t="shared" si="5"/>
        <v>35-44</v>
      </c>
    </row>
    <row r="150" spans="1:12" x14ac:dyDescent="0.45">
      <c r="A150" s="9" t="s">
        <v>345</v>
      </c>
      <c r="B150" s="3" t="s">
        <v>346</v>
      </c>
      <c r="C150" s="3" t="s">
        <v>10</v>
      </c>
      <c r="D150" s="6">
        <v>37</v>
      </c>
      <c r="E150" s="3" t="s">
        <v>15</v>
      </c>
      <c r="F150" s="3">
        <v>5</v>
      </c>
      <c r="G150" s="5">
        <v>3000.85</v>
      </c>
      <c r="H150" s="3" t="s">
        <v>18</v>
      </c>
      <c r="I150" s="4">
        <v>44931</v>
      </c>
      <c r="J150" s="3" t="s">
        <v>19</v>
      </c>
      <c r="K150" s="10">
        <f t="shared" si="4"/>
        <v>15004.25</v>
      </c>
      <c r="L150" s="25" t="str">
        <f t="shared" si="5"/>
        <v>35-44</v>
      </c>
    </row>
    <row r="151" spans="1:12" x14ac:dyDescent="0.45">
      <c r="A151" s="9" t="s">
        <v>353</v>
      </c>
      <c r="B151" s="3" t="s">
        <v>354</v>
      </c>
      <c r="C151" s="3" t="s">
        <v>14</v>
      </c>
      <c r="D151" s="6">
        <v>42</v>
      </c>
      <c r="E151" s="3" t="s">
        <v>11</v>
      </c>
      <c r="F151" s="3">
        <v>4</v>
      </c>
      <c r="G151" s="5">
        <v>1200.32</v>
      </c>
      <c r="H151" s="3" t="s">
        <v>12</v>
      </c>
      <c r="I151" s="4">
        <v>44939</v>
      </c>
      <c r="J151" s="3" t="s">
        <v>13</v>
      </c>
      <c r="K151" s="10">
        <f t="shared" si="4"/>
        <v>4801.28</v>
      </c>
      <c r="L151" s="25" t="str">
        <f t="shared" si="5"/>
        <v>35-44</v>
      </c>
    </row>
    <row r="152" spans="1:12" x14ac:dyDescent="0.45">
      <c r="A152" s="9" t="s">
        <v>355</v>
      </c>
      <c r="B152" s="3" t="s">
        <v>356</v>
      </c>
      <c r="C152" s="3" t="s">
        <v>10</v>
      </c>
      <c r="D152" s="6">
        <v>44</v>
      </c>
      <c r="E152" s="3" t="s">
        <v>11</v>
      </c>
      <c r="F152" s="3">
        <v>2</v>
      </c>
      <c r="G152" s="5">
        <v>600.16</v>
      </c>
      <c r="H152" s="3" t="s">
        <v>16</v>
      </c>
      <c r="I152" s="4">
        <v>44962</v>
      </c>
      <c r="J152" s="3" t="s">
        <v>29</v>
      </c>
      <c r="K152" s="10">
        <f t="shared" si="4"/>
        <v>1200.32</v>
      </c>
      <c r="L152" s="25" t="str">
        <f t="shared" si="5"/>
        <v>35-44</v>
      </c>
    </row>
    <row r="153" spans="1:12" x14ac:dyDescent="0.45">
      <c r="A153" s="9" t="s">
        <v>369</v>
      </c>
      <c r="B153" s="3" t="s">
        <v>370</v>
      </c>
      <c r="C153" s="3" t="s">
        <v>10</v>
      </c>
      <c r="D153" s="6">
        <v>37</v>
      </c>
      <c r="E153" s="3" t="s">
        <v>11</v>
      </c>
      <c r="F153" s="3">
        <v>4</v>
      </c>
      <c r="G153" s="5">
        <v>1200.32</v>
      </c>
      <c r="H153" s="3" t="s">
        <v>18</v>
      </c>
      <c r="I153" s="4">
        <v>44983</v>
      </c>
      <c r="J153" s="3" t="s">
        <v>23</v>
      </c>
      <c r="K153" s="10">
        <f t="shared" si="4"/>
        <v>4801.28</v>
      </c>
      <c r="L153" s="25" t="str">
        <f t="shared" si="5"/>
        <v>35-44</v>
      </c>
    </row>
    <row r="154" spans="1:12" x14ac:dyDescent="0.45">
      <c r="A154" s="9" t="s">
        <v>375</v>
      </c>
      <c r="B154" s="3" t="s">
        <v>376</v>
      </c>
      <c r="C154" s="3" t="s">
        <v>14</v>
      </c>
      <c r="D154" s="6">
        <v>39</v>
      </c>
      <c r="E154" s="3" t="s">
        <v>35</v>
      </c>
      <c r="F154" s="3">
        <v>4</v>
      </c>
      <c r="G154" s="5">
        <v>4200</v>
      </c>
      <c r="H154" s="3" t="s">
        <v>12</v>
      </c>
      <c r="I154" s="4">
        <v>44992</v>
      </c>
      <c r="J154" s="3" t="s">
        <v>23</v>
      </c>
      <c r="K154" s="10">
        <f t="shared" si="4"/>
        <v>16800</v>
      </c>
      <c r="L154" s="25" t="str">
        <f t="shared" si="5"/>
        <v>35-44</v>
      </c>
    </row>
    <row r="155" spans="1:12" x14ac:dyDescent="0.45">
      <c r="A155" s="9" t="s">
        <v>385</v>
      </c>
      <c r="B155" s="3" t="s">
        <v>386</v>
      </c>
      <c r="C155" s="3" t="s">
        <v>10</v>
      </c>
      <c r="D155" s="6">
        <v>36</v>
      </c>
      <c r="E155" s="3" t="s">
        <v>27</v>
      </c>
      <c r="F155" s="3">
        <v>3</v>
      </c>
      <c r="G155" s="5">
        <v>107.52</v>
      </c>
      <c r="H155" s="3" t="s">
        <v>18</v>
      </c>
      <c r="I155" s="4">
        <v>44980</v>
      </c>
      <c r="J155" s="3" t="s">
        <v>19</v>
      </c>
      <c r="K155" s="10">
        <f t="shared" si="4"/>
        <v>322.56</v>
      </c>
      <c r="L155" s="25" t="str">
        <f t="shared" si="5"/>
        <v>35-44</v>
      </c>
    </row>
    <row r="156" spans="1:12" x14ac:dyDescent="0.45">
      <c r="A156" s="9" t="s">
        <v>417</v>
      </c>
      <c r="B156" s="3" t="s">
        <v>418</v>
      </c>
      <c r="C156" s="3" t="s">
        <v>10</v>
      </c>
      <c r="D156" s="6">
        <v>36</v>
      </c>
      <c r="E156" s="3" t="s">
        <v>11</v>
      </c>
      <c r="F156" s="3">
        <v>5</v>
      </c>
      <c r="G156" s="5">
        <v>1500.4</v>
      </c>
      <c r="H156" s="3" t="s">
        <v>12</v>
      </c>
      <c r="I156" s="4">
        <v>44948</v>
      </c>
      <c r="J156" s="3" t="s">
        <v>30</v>
      </c>
      <c r="K156" s="10">
        <f t="shared" si="4"/>
        <v>7502</v>
      </c>
      <c r="L156" s="25" t="str">
        <f t="shared" si="5"/>
        <v>35-44</v>
      </c>
    </row>
    <row r="157" spans="1:12" x14ac:dyDescent="0.45">
      <c r="A157" s="9" t="s">
        <v>431</v>
      </c>
      <c r="B157" s="3" t="s">
        <v>432</v>
      </c>
      <c r="C157" s="3" t="s">
        <v>14</v>
      </c>
      <c r="D157" s="6">
        <v>39</v>
      </c>
      <c r="E157" s="3" t="s">
        <v>11</v>
      </c>
      <c r="F157" s="3">
        <v>4</v>
      </c>
      <c r="G157" s="5">
        <v>1200.32</v>
      </c>
      <c r="H157" s="3" t="s">
        <v>12</v>
      </c>
      <c r="I157" s="4">
        <v>44939</v>
      </c>
      <c r="J157" s="3" t="s">
        <v>17</v>
      </c>
      <c r="K157" s="10">
        <f t="shared" si="4"/>
        <v>4801.28</v>
      </c>
      <c r="L157" s="25" t="str">
        <f t="shared" si="5"/>
        <v>35-44</v>
      </c>
    </row>
    <row r="158" spans="1:12" x14ac:dyDescent="0.45">
      <c r="A158" s="9" t="s">
        <v>435</v>
      </c>
      <c r="B158" s="3" t="s">
        <v>436</v>
      </c>
      <c r="C158" s="3" t="s">
        <v>10</v>
      </c>
      <c r="D158" s="6">
        <v>39</v>
      </c>
      <c r="E158" s="3" t="s">
        <v>21</v>
      </c>
      <c r="F158" s="3">
        <v>5</v>
      </c>
      <c r="G158" s="5">
        <v>75.75</v>
      </c>
      <c r="H158" s="3" t="s">
        <v>12</v>
      </c>
      <c r="I158" s="4">
        <v>44930</v>
      </c>
      <c r="J158" s="3" t="s">
        <v>20</v>
      </c>
      <c r="K158" s="10">
        <f t="shared" si="4"/>
        <v>378.75</v>
      </c>
      <c r="L158" s="25" t="str">
        <f t="shared" si="5"/>
        <v>35-44</v>
      </c>
    </row>
    <row r="159" spans="1:12" x14ac:dyDescent="0.45">
      <c r="A159" s="9" t="s">
        <v>441</v>
      </c>
      <c r="B159" s="3" t="s">
        <v>442</v>
      </c>
      <c r="C159" s="3" t="s">
        <v>10</v>
      </c>
      <c r="D159" s="6">
        <v>42</v>
      </c>
      <c r="E159" s="3" t="s">
        <v>25</v>
      </c>
      <c r="F159" s="3">
        <v>1</v>
      </c>
      <c r="G159" s="5">
        <v>5.23</v>
      </c>
      <c r="H159" s="3" t="s">
        <v>16</v>
      </c>
      <c r="I159" s="4">
        <v>44979</v>
      </c>
      <c r="J159" s="3" t="s">
        <v>29</v>
      </c>
      <c r="K159" s="10">
        <f t="shared" si="4"/>
        <v>5.23</v>
      </c>
      <c r="L159" s="25" t="str">
        <f t="shared" si="5"/>
        <v>35-44</v>
      </c>
    </row>
    <row r="160" spans="1:12" x14ac:dyDescent="0.45">
      <c r="A160" s="9" t="s">
        <v>451</v>
      </c>
      <c r="B160" s="3" t="s">
        <v>452</v>
      </c>
      <c r="C160" s="3" t="s">
        <v>10</v>
      </c>
      <c r="D160" s="6">
        <v>41</v>
      </c>
      <c r="E160" s="3" t="s">
        <v>44</v>
      </c>
      <c r="F160" s="3">
        <v>2</v>
      </c>
      <c r="G160" s="5">
        <v>23.46</v>
      </c>
      <c r="H160" s="3" t="s">
        <v>18</v>
      </c>
      <c r="I160" s="4">
        <v>44965</v>
      </c>
      <c r="J160" s="3" t="s">
        <v>28</v>
      </c>
      <c r="K160" s="10">
        <f t="shared" si="4"/>
        <v>46.92</v>
      </c>
      <c r="L160" s="25" t="str">
        <f t="shared" si="5"/>
        <v>35-44</v>
      </c>
    </row>
    <row r="161" spans="1:12" x14ac:dyDescent="0.45">
      <c r="A161" s="9" t="s">
        <v>453</v>
      </c>
      <c r="B161" s="3" t="s">
        <v>454</v>
      </c>
      <c r="C161" s="3" t="s">
        <v>10</v>
      </c>
      <c r="D161" s="6">
        <v>39</v>
      </c>
      <c r="E161" s="3" t="s">
        <v>11</v>
      </c>
      <c r="F161" s="3">
        <v>1</v>
      </c>
      <c r="G161" s="5">
        <v>300.08</v>
      </c>
      <c r="H161" s="3" t="s">
        <v>12</v>
      </c>
      <c r="I161" s="4">
        <v>44960</v>
      </c>
      <c r="J161" s="3" t="s">
        <v>13</v>
      </c>
      <c r="K161" s="10">
        <f t="shared" si="4"/>
        <v>300.08</v>
      </c>
      <c r="L161" s="25" t="str">
        <f t="shared" si="5"/>
        <v>35-44</v>
      </c>
    </row>
    <row r="162" spans="1:12" x14ac:dyDescent="0.45">
      <c r="A162" s="9" t="s">
        <v>459</v>
      </c>
      <c r="B162" s="3" t="s">
        <v>460</v>
      </c>
      <c r="C162" s="3" t="s">
        <v>10</v>
      </c>
      <c r="D162" s="6">
        <v>40</v>
      </c>
      <c r="E162" s="3" t="s">
        <v>27</v>
      </c>
      <c r="F162" s="3">
        <v>4</v>
      </c>
      <c r="G162" s="5">
        <v>143.36000000000001</v>
      </c>
      <c r="H162" s="3" t="s">
        <v>12</v>
      </c>
      <c r="I162" s="4">
        <v>44951</v>
      </c>
      <c r="J162" s="3" t="s">
        <v>24</v>
      </c>
      <c r="K162" s="10">
        <f t="shared" si="4"/>
        <v>573.44000000000005</v>
      </c>
      <c r="L162" s="25" t="str">
        <f t="shared" si="5"/>
        <v>35-44</v>
      </c>
    </row>
    <row r="163" spans="1:12" x14ac:dyDescent="0.45">
      <c r="A163" s="9" t="s">
        <v>467</v>
      </c>
      <c r="B163" s="3" t="s">
        <v>468</v>
      </c>
      <c r="C163" s="3" t="s">
        <v>10</v>
      </c>
      <c r="D163" s="6">
        <v>35</v>
      </c>
      <c r="E163" s="3" t="s">
        <v>11</v>
      </c>
      <c r="F163" s="3">
        <v>3</v>
      </c>
      <c r="G163" s="5">
        <v>900.24</v>
      </c>
      <c r="H163" s="3" t="s">
        <v>18</v>
      </c>
      <c r="I163" s="4">
        <v>44928</v>
      </c>
      <c r="J163" s="3" t="s">
        <v>24</v>
      </c>
      <c r="K163" s="10">
        <f t="shared" si="4"/>
        <v>2700.7200000000003</v>
      </c>
      <c r="L163" s="25" t="str">
        <f t="shared" si="5"/>
        <v>35-44</v>
      </c>
    </row>
    <row r="164" spans="1:12" x14ac:dyDescent="0.45">
      <c r="A164" s="9" t="s">
        <v>489</v>
      </c>
      <c r="B164" s="3" t="s">
        <v>490</v>
      </c>
      <c r="C164" s="3" t="s">
        <v>10</v>
      </c>
      <c r="D164" s="6">
        <v>40</v>
      </c>
      <c r="E164" s="3" t="s">
        <v>11</v>
      </c>
      <c r="F164" s="3">
        <v>2</v>
      </c>
      <c r="G164" s="5">
        <v>600.16</v>
      </c>
      <c r="H164" s="3" t="s">
        <v>16</v>
      </c>
      <c r="I164" s="4">
        <v>44959</v>
      </c>
      <c r="J164" s="3" t="s">
        <v>24</v>
      </c>
      <c r="K164" s="10">
        <f t="shared" si="4"/>
        <v>1200.32</v>
      </c>
      <c r="L164" s="25" t="str">
        <f t="shared" si="5"/>
        <v>35-44</v>
      </c>
    </row>
    <row r="165" spans="1:12" x14ac:dyDescent="0.45">
      <c r="A165" s="9" t="s">
        <v>497</v>
      </c>
      <c r="B165" s="3" t="s">
        <v>498</v>
      </c>
      <c r="C165" s="3" t="s">
        <v>10</v>
      </c>
      <c r="D165" s="6">
        <v>41</v>
      </c>
      <c r="E165" s="3" t="s">
        <v>11</v>
      </c>
      <c r="F165" s="3">
        <v>1</v>
      </c>
      <c r="G165" s="5">
        <v>300.08</v>
      </c>
      <c r="H165" s="3" t="s">
        <v>12</v>
      </c>
      <c r="I165" s="4">
        <v>44974</v>
      </c>
      <c r="J165" s="3" t="s">
        <v>13</v>
      </c>
      <c r="K165" s="10">
        <f t="shared" si="4"/>
        <v>300.08</v>
      </c>
      <c r="L165" s="25" t="str">
        <f t="shared" si="5"/>
        <v>35-44</v>
      </c>
    </row>
    <row r="166" spans="1:12" x14ac:dyDescent="0.45">
      <c r="A166" s="9" t="s">
        <v>499</v>
      </c>
      <c r="B166" s="3" t="s">
        <v>500</v>
      </c>
      <c r="C166" s="3" t="s">
        <v>10</v>
      </c>
      <c r="D166" s="6">
        <v>42</v>
      </c>
      <c r="E166" s="3" t="s">
        <v>44</v>
      </c>
      <c r="F166" s="3">
        <v>1</v>
      </c>
      <c r="G166" s="5">
        <v>11.73</v>
      </c>
      <c r="H166" s="3" t="s">
        <v>16</v>
      </c>
      <c r="I166" s="4">
        <v>44953</v>
      </c>
      <c r="J166" s="3" t="s">
        <v>13</v>
      </c>
      <c r="K166" s="10">
        <f t="shared" si="4"/>
        <v>11.73</v>
      </c>
      <c r="L166" s="25" t="str">
        <f t="shared" si="5"/>
        <v>35-44</v>
      </c>
    </row>
    <row r="167" spans="1:12" x14ac:dyDescent="0.45">
      <c r="A167" s="9" t="s">
        <v>505</v>
      </c>
      <c r="B167" s="3" t="s">
        <v>506</v>
      </c>
      <c r="C167" s="3" t="s">
        <v>10</v>
      </c>
      <c r="D167" s="6">
        <v>42</v>
      </c>
      <c r="E167" s="3" t="s">
        <v>21</v>
      </c>
      <c r="F167" s="3">
        <v>4</v>
      </c>
      <c r="G167" s="5">
        <v>60.6</v>
      </c>
      <c r="H167" s="3" t="s">
        <v>12</v>
      </c>
      <c r="I167" s="4">
        <v>44969</v>
      </c>
      <c r="J167" s="3" t="s">
        <v>20</v>
      </c>
      <c r="K167" s="10">
        <f t="shared" si="4"/>
        <v>242.4</v>
      </c>
      <c r="L167" s="25" t="str">
        <f t="shared" si="5"/>
        <v>35-44</v>
      </c>
    </row>
    <row r="168" spans="1:12" x14ac:dyDescent="0.45">
      <c r="A168" s="9" t="s">
        <v>507</v>
      </c>
      <c r="B168" s="3" t="s">
        <v>508</v>
      </c>
      <c r="C168" s="3" t="s">
        <v>10</v>
      </c>
      <c r="D168" s="6">
        <v>38</v>
      </c>
      <c r="E168" s="3" t="s">
        <v>22</v>
      </c>
      <c r="F168" s="3">
        <v>1</v>
      </c>
      <c r="G168" s="5">
        <v>40.659999999999997</v>
      </c>
      <c r="H168" s="3" t="s">
        <v>18</v>
      </c>
      <c r="I168" s="4">
        <v>44993</v>
      </c>
      <c r="J168" s="3" t="s">
        <v>30</v>
      </c>
      <c r="K168" s="10">
        <f t="shared" si="4"/>
        <v>40.659999999999997</v>
      </c>
      <c r="L168" s="25" t="str">
        <f t="shared" si="5"/>
        <v>35-44</v>
      </c>
    </row>
    <row r="169" spans="1:12" x14ac:dyDescent="0.45">
      <c r="A169" s="9" t="s">
        <v>511</v>
      </c>
      <c r="B169" s="3" t="s">
        <v>512</v>
      </c>
      <c r="C169" s="3" t="s">
        <v>14</v>
      </c>
      <c r="D169" s="6">
        <v>37</v>
      </c>
      <c r="E169" s="3" t="s">
        <v>25</v>
      </c>
      <c r="F169" s="3">
        <v>5</v>
      </c>
      <c r="G169" s="5">
        <v>26.15</v>
      </c>
      <c r="H169" s="3" t="s">
        <v>12</v>
      </c>
      <c r="I169" s="4">
        <v>44973</v>
      </c>
      <c r="J169" s="3" t="s">
        <v>19</v>
      </c>
      <c r="K169" s="10">
        <f t="shared" si="4"/>
        <v>130.75</v>
      </c>
      <c r="L169" s="25" t="str">
        <f t="shared" si="5"/>
        <v>35-44</v>
      </c>
    </row>
    <row r="170" spans="1:12" x14ac:dyDescent="0.45">
      <c r="A170" s="9" t="s">
        <v>513</v>
      </c>
      <c r="B170" s="3" t="s">
        <v>514</v>
      </c>
      <c r="C170" s="3" t="s">
        <v>10</v>
      </c>
      <c r="D170" s="6">
        <v>43</v>
      </c>
      <c r="E170" s="3" t="s">
        <v>11</v>
      </c>
      <c r="F170" s="3">
        <v>2</v>
      </c>
      <c r="G170" s="5">
        <v>600.16</v>
      </c>
      <c r="H170" s="3" t="s">
        <v>18</v>
      </c>
      <c r="I170" s="4">
        <v>44985</v>
      </c>
      <c r="J170" s="3" t="s">
        <v>13</v>
      </c>
      <c r="K170" s="10">
        <f t="shared" si="4"/>
        <v>1200.32</v>
      </c>
      <c r="L170" s="25" t="str">
        <f t="shared" si="5"/>
        <v>35-44</v>
      </c>
    </row>
    <row r="171" spans="1:12" x14ac:dyDescent="0.45">
      <c r="A171" s="9" t="s">
        <v>525</v>
      </c>
      <c r="B171" s="3" t="s">
        <v>526</v>
      </c>
      <c r="C171" s="3" t="s">
        <v>10</v>
      </c>
      <c r="D171" s="6">
        <v>40</v>
      </c>
      <c r="E171" s="3" t="s">
        <v>25</v>
      </c>
      <c r="F171" s="3">
        <v>3</v>
      </c>
      <c r="G171" s="5">
        <v>15.69</v>
      </c>
      <c r="H171" s="3" t="s">
        <v>12</v>
      </c>
      <c r="I171" s="4">
        <v>44966</v>
      </c>
      <c r="J171" s="3" t="s">
        <v>13</v>
      </c>
      <c r="K171" s="10">
        <f t="shared" si="4"/>
        <v>47.07</v>
      </c>
      <c r="L171" s="25" t="str">
        <f t="shared" si="5"/>
        <v>35-44</v>
      </c>
    </row>
    <row r="172" spans="1:12" x14ac:dyDescent="0.45">
      <c r="A172" s="9" t="s">
        <v>53</v>
      </c>
      <c r="B172" s="3" t="s">
        <v>54</v>
      </c>
      <c r="C172" s="3" t="s">
        <v>10</v>
      </c>
      <c r="D172" s="6">
        <v>32</v>
      </c>
      <c r="E172" s="3" t="s">
        <v>11</v>
      </c>
      <c r="F172" s="3">
        <v>1</v>
      </c>
      <c r="G172" s="5">
        <v>300.08</v>
      </c>
      <c r="H172" s="3" t="s">
        <v>12</v>
      </c>
      <c r="I172" s="4">
        <v>44941</v>
      </c>
      <c r="J172" s="3" t="s">
        <v>17</v>
      </c>
      <c r="K172" s="10">
        <f t="shared" si="4"/>
        <v>300.08</v>
      </c>
      <c r="L172" s="25" t="str">
        <f t="shared" si="5"/>
        <v>25-34</v>
      </c>
    </row>
    <row r="173" spans="1:12" x14ac:dyDescent="0.45">
      <c r="A173" s="9" t="s">
        <v>55</v>
      </c>
      <c r="B173" s="3" t="s">
        <v>56</v>
      </c>
      <c r="C173" s="3" t="s">
        <v>10</v>
      </c>
      <c r="D173" s="6">
        <v>31</v>
      </c>
      <c r="E173" s="3" t="s">
        <v>11</v>
      </c>
      <c r="F173" s="3">
        <v>2</v>
      </c>
      <c r="G173" s="5">
        <v>600.16</v>
      </c>
      <c r="H173" s="3" t="s">
        <v>12</v>
      </c>
      <c r="I173" s="4">
        <v>44958</v>
      </c>
      <c r="J173" s="3" t="s">
        <v>13</v>
      </c>
      <c r="K173" s="10">
        <f t="shared" si="4"/>
        <v>1200.32</v>
      </c>
      <c r="L173" s="25" t="str">
        <f t="shared" si="5"/>
        <v>25-34</v>
      </c>
    </row>
    <row r="174" spans="1:12" x14ac:dyDescent="0.45">
      <c r="A174" s="9" t="s">
        <v>59</v>
      </c>
      <c r="B174" s="3" t="s">
        <v>60</v>
      </c>
      <c r="C174" s="3" t="s">
        <v>14</v>
      </c>
      <c r="D174" s="6">
        <v>34</v>
      </c>
      <c r="E174" s="3" t="s">
        <v>27</v>
      </c>
      <c r="F174" s="3">
        <v>2</v>
      </c>
      <c r="G174" s="5">
        <v>71.680000000000007</v>
      </c>
      <c r="H174" s="3" t="s">
        <v>16</v>
      </c>
      <c r="I174" s="4">
        <v>44983</v>
      </c>
      <c r="J174" s="3" t="s">
        <v>19</v>
      </c>
      <c r="K174" s="10">
        <f t="shared" si="4"/>
        <v>143.36000000000001</v>
      </c>
      <c r="L174" s="25" t="str">
        <f t="shared" si="5"/>
        <v>25-34</v>
      </c>
    </row>
    <row r="175" spans="1:12" x14ac:dyDescent="0.45">
      <c r="A175" s="9" t="s">
        <v>63</v>
      </c>
      <c r="B175" s="3" t="s">
        <v>64</v>
      </c>
      <c r="C175" s="3" t="s">
        <v>10</v>
      </c>
      <c r="D175" s="6">
        <v>31</v>
      </c>
      <c r="E175" s="3" t="s">
        <v>22</v>
      </c>
      <c r="F175" s="3">
        <v>4</v>
      </c>
      <c r="G175" s="5">
        <v>162.63999999999999</v>
      </c>
      <c r="H175" s="3" t="s">
        <v>18</v>
      </c>
      <c r="I175" s="4">
        <v>44970</v>
      </c>
      <c r="J175" s="3" t="s">
        <v>20</v>
      </c>
      <c r="K175" s="10">
        <f t="shared" si="4"/>
        <v>650.55999999999995</v>
      </c>
      <c r="L175" s="25" t="str">
        <f t="shared" si="5"/>
        <v>25-34</v>
      </c>
    </row>
    <row r="176" spans="1:12" x14ac:dyDescent="0.45">
      <c r="A176" s="9" t="s">
        <v>71</v>
      </c>
      <c r="B176" s="3" t="s">
        <v>72</v>
      </c>
      <c r="C176" s="3" t="s">
        <v>10</v>
      </c>
      <c r="D176" s="6">
        <v>29</v>
      </c>
      <c r="E176" s="3" t="s">
        <v>11</v>
      </c>
      <c r="F176" s="3">
        <v>1</v>
      </c>
      <c r="G176" s="5">
        <v>300.08</v>
      </c>
      <c r="H176" s="3" t="s">
        <v>16</v>
      </c>
      <c r="I176" s="4">
        <v>44941</v>
      </c>
      <c r="J176" s="3" t="s">
        <v>20</v>
      </c>
      <c r="K176" s="10">
        <f t="shared" si="4"/>
        <v>300.08</v>
      </c>
      <c r="L176" s="25" t="str">
        <f t="shared" si="5"/>
        <v>25-34</v>
      </c>
    </row>
    <row r="177" spans="1:12" x14ac:dyDescent="0.45">
      <c r="A177" s="9" t="s">
        <v>79</v>
      </c>
      <c r="B177" s="3" t="s">
        <v>80</v>
      </c>
      <c r="C177" s="3" t="s">
        <v>14</v>
      </c>
      <c r="D177" s="6">
        <v>27</v>
      </c>
      <c r="E177" s="3" t="s">
        <v>11</v>
      </c>
      <c r="F177" s="3">
        <v>1</v>
      </c>
      <c r="G177" s="5">
        <v>300.08</v>
      </c>
      <c r="H177" s="3" t="s">
        <v>18</v>
      </c>
      <c r="I177" s="4">
        <v>44936</v>
      </c>
      <c r="J177" s="3" t="s">
        <v>13</v>
      </c>
      <c r="K177" s="10">
        <f t="shared" si="4"/>
        <v>300.08</v>
      </c>
      <c r="L177" s="25" t="str">
        <f t="shared" si="5"/>
        <v>25-34</v>
      </c>
    </row>
    <row r="178" spans="1:12" x14ac:dyDescent="0.45">
      <c r="A178" s="9" t="s">
        <v>95</v>
      </c>
      <c r="B178" s="3" t="s">
        <v>96</v>
      </c>
      <c r="C178" s="3" t="s">
        <v>14</v>
      </c>
      <c r="D178" s="6">
        <v>30</v>
      </c>
      <c r="E178" s="3" t="s">
        <v>44</v>
      </c>
      <c r="F178" s="3">
        <v>2</v>
      </c>
      <c r="G178" s="5">
        <v>23.46</v>
      </c>
      <c r="H178" s="3" t="s">
        <v>12</v>
      </c>
      <c r="I178" s="4">
        <v>44993</v>
      </c>
      <c r="J178" s="3" t="s">
        <v>17</v>
      </c>
      <c r="K178" s="10">
        <f t="shared" si="4"/>
        <v>46.92</v>
      </c>
      <c r="L178" s="25" t="str">
        <f t="shared" si="5"/>
        <v>25-34</v>
      </c>
    </row>
    <row r="179" spans="1:12" x14ac:dyDescent="0.45">
      <c r="A179" s="9" t="s">
        <v>107</v>
      </c>
      <c r="B179" s="3" t="s">
        <v>108</v>
      </c>
      <c r="C179" s="3" t="s">
        <v>10</v>
      </c>
      <c r="D179" s="6">
        <v>29</v>
      </c>
      <c r="E179" s="3" t="s">
        <v>35</v>
      </c>
      <c r="F179" s="3">
        <v>4</v>
      </c>
      <c r="G179" s="5">
        <v>4200</v>
      </c>
      <c r="H179" s="3" t="s">
        <v>16</v>
      </c>
      <c r="I179" s="4">
        <v>44959</v>
      </c>
      <c r="J179" s="3" t="s">
        <v>13</v>
      </c>
      <c r="K179" s="10">
        <f t="shared" si="4"/>
        <v>16800</v>
      </c>
      <c r="L179" s="25" t="str">
        <f t="shared" si="5"/>
        <v>25-34</v>
      </c>
    </row>
    <row r="180" spans="1:12" x14ac:dyDescent="0.45">
      <c r="A180" s="9" t="s">
        <v>109</v>
      </c>
      <c r="B180" s="3" t="s">
        <v>110</v>
      </c>
      <c r="C180" s="3" t="s">
        <v>14</v>
      </c>
      <c r="D180" s="6">
        <v>29</v>
      </c>
      <c r="E180" s="3" t="s">
        <v>25</v>
      </c>
      <c r="F180" s="3">
        <v>2</v>
      </c>
      <c r="G180" s="5">
        <v>10.46</v>
      </c>
      <c r="H180" s="3" t="s">
        <v>18</v>
      </c>
      <c r="I180" s="4">
        <v>44935</v>
      </c>
      <c r="J180" s="3" t="s">
        <v>24</v>
      </c>
      <c r="K180" s="10">
        <f t="shared" si="4"/>
        <v>20.92</v>
      </c>
      <c r="L180" s="25" t="str">
        <f t="shared" si="5"/>
        <v>25-34</v>
      </c>
    </row>
    <row r="181" spans="1:12" x14ac:dyDescent="0.45">
      <c r="A181" s="9" t="s">
        <v>129</v>
      </c>
      <c r="B181" s="3" t="s">
        <v>130</v>
      </c>
      <c r="C181" s="3" t="s">
        <v>14</v>
      </c>
      <c r="D181" s="6">
        <v>34</v>
      </c>
      <c r="E181" s="3" t="s">
        <v>11</v>
      </c>
      <c r="F181" s="3">
        <v>2</v>
      </c>
      <c r="G181" s="5">
        <v>600.16</v>
      </c>
      <c r="H181" s="3" t="s">
        <v>12</v>
      </c>
      <c r="I181" s="4">
        <v>44976</v>
      </c>
      <c r="J181" s="3" t="s">
        <v>26</v>
      </c>
      <c r="K181" s="10">
        <f t="shared" si="4"/>
        <v>1200.32</v>
      </c>
      <c r="L181" s="25" t="str">
        <f t="shared" si="5"/>
        <v>25-34</v>
      </c>
    </row>
    <row r="182" spans="1:12" x14ac:dyDescent="0.45">
      <c r="A182" s="9" t="s">
        <v>141</v>
      </c>
      <c r="B182" s="3" t="s">
        <v>142</v>
      </c>
      <c r="C182" s="3" t="s">
        <v>14</v>
      </c>
      <c r="D182" s="6">
        <v>32</v>
      </c>
      <c r="E182" s="3" t="s">
        <v>22</v>
      </c>
      <c r="F182" s="3">
        <v>1</v>
      </c>
      <c r="G182" s="5">
        <v>40.659999999999997</v>
      </c>
      <c r="H182" s="3" t="s">
        <v>18</v>
      </c>
      <c r="I182" s="4">
        <v>44958</v>
      </c>
      <c r="J182" s="3" t="s">
        <v>23</v>
      </c>
      <c r="K182" s="10">
        <f t="shared" si="4"/>
        <v>40.659999999999997</v>
      </c>
      <c r="L182" s="25" t="str">
        <f t="shared" si="5"/>
        <v>25-34</v>
      </c>
    </row>
    <row r="183" spans="1:12" x14ac:dyDescent="0.45">
      <c r="A183" s="9" t="s">
        <v>145</v>
      </c>
      <c r="B183" s="3" t="s">
        <v>146</v>
      </c>
      <c r="C183" s="3" t="s">
        <v>10</v>
      </c>
      <c r="D183" s="6">
        <v>32</v>
      </c>
      <c r="E183" s="3" t="s">
        <v>11</v>
      </c>
      <c r="F183" s="3">
        <v>4</v>
      </c>
      <c r="G183" s="5">
        <v>1200.32</v>
      </c>
      <c r="H183" s="3" t="s">
        <v>18</v>
      </c>
      <c r="I183" s="4">
        <v>44968</v>
      </c>
      <c r="J183" s="3" t="s">
        <v>28</v>
      </c>
      <c r="K183" s="10">
        <f t="shared" si="4"/>
        <v>4801.28</v>
      </c>
      <c r="L183" s="25" t="str">
        <f t="shared" si="5"/>
        <v>25-34</v>
      </c>
    </row>
    <row r="184" spans="1:12" x14ac:dyDescent="0.45">
      <c r="A184" s="9" t="s">
        <v>149</v>
      </c>
      <c r="B184" s="3" t="s">
        <v>150</v>
      </c>
      <c r="C184" s="3" t="s">
        <v>10</v>
      </c>
      <c r="D184" s="6">
        <v>29</v>
      </c>
      <c r="E184" s="3" t="s">
        <v>11</v>
      </c>
      <c r="F184" s="3">
        <v>4</v>
      </c>
      <c r="G184" s="5">
        <v>1200.32</v>
      </c>
      <c r="H184" s="3" t="s">
        <v>18</v>
      </c>
      <c r="I184" s="4">
        <v>44963</v>
      </c>
      <c r="J184" s="3" t="s">
        <v>19</v>
      </c>
      <c r="K184" s="10">
        <f t="shared" si="4"/>
        <v>4801.28</v>
      </c>
      <c r="L184" s="25" t="str">
        <f t="shared" si="5"/>
        <v>25-34</v>
      </c>
    </row>
    <row r="185" spans="1:12" x14ac:dyDescent="0.45">
      <c r="A185" s="9" t="s">
        <v>165</v>
      </c>
      <c r="B185" s="3" t="s">
        <v>166</v>
      </c>
      <c r="C185" s="3" t="s">
        <v>10</v>
      </c>
      <c r="D185" s="6">
        <v>34</v>
      </c>
      <c r="E185" s="3" t="s">
        <v>15</v>
      </c>
      <c r="F185" s="3">
        <v>1</v>
      </c>
      <c r="G185" s="5">
        <v>600.16999999999996</v>
      </c>
      <c r="H185" s="3" t="s">
        <v>16</v>
      </c>
      <c r="I185" s="4">
        <v>44930</v>
      </c>
      <c r="J185" s="3" t="s">
        <v>20</v>
      </c>
      <c r="K185" s="10">
        <f t="shared" si="4"/>
        <v>600.16999999999996</v>
      </c>
      <c r="L185" s="25" t="str">
        <f t="shared" si="5"/>
        <v>25-34</v>
      </c>
    </row>
    <row r="186" spans="1:12" x14ac:dyDescent="0.45">
      <c r="A186" s="9" t="s">
        <v>171</v>
      </c>
      <c r="B186" s="3" t="s">
        <v>172</v>
      </c>
      <c r="C186" s="3" t="s">
        <v>14</v>
      </c>
      <c r="D186" s="6">
        <v>30</v>
      </c>
      <c r="E186" s="3" t="s">
        <v>11</v>
      </c>
      <c r="F186" s="3">
        <v>1</v>
      </c>
      <c r="G186" s="5">
        <v>300.08</v>
      </c>
      <c r="H186" s="3" t="s">
        <v>16</v>
      </c>
      <c r="I186" s="4">
        <v>44965</v>
      </c>
      <c r="J186" s="3" t="s">
        <v>23</v>
      </c>
      <c r="K186" s="10">
        <f t="shared" si="4"/>
        <v>300.08</v>
      </c>
      <c r="L186" s="25" t="str">
        <f t="shared" si="5"/>
        <v>25-34</v>
      </c>
    </row>
    <row r="187" spans="1:12" x14ac:dyDescent="0.45">
      <c r="A187" s="9" t="s">
        <v>193</v>
      </c>
      <c r="B187" s="3" t="s">
        <v>194</v>
      </c>
      <c r="C187" s="3" t="s">
        <v>14</v>
      </c>
      <c r="D187" s="6">
        <v>31</v>
      </c>
      <c r="E187" s="3" t="s">
        <v>25</v>
      </c>
      <c r="F187" s="3">
        <v>1</v>
      </c>
      <c r="G187" s="5">
        <v>5.23</v>
      </c>
      <c r="H187" s="3" t="s">
        <v>18</v>
      </c>
      <c r="I187" s="4">
        <v>44966</v>
      </c>
      <c r="J187" s="3" t="s">
        <v>17</v>
      </c>
      <c r="K187" s="10">
        <f t="shared" si="4"/>
        <v>5.23</v>
      </c>
      <c r="L187" s="25" t="str">
        <f t="shared" si="5"/>
        <v>25-34</v>
      </c>
    </row>
    <row r="188" spans="1:12" x14ac:dyDescent="0.45">
      <c r="A188" s="9" t="s">
        <v>207</v>
      </c>
      <c r="B188" s="3" t="s">
        <v>208</v>
      </c>
      <c r="C188" s="3" t="s">
        <v>14</v>
      </c>
      <c r="D188" s="6">
        <v>32</v>
      </c>
      <c r="E188" s="3" t="s">
        <v>22</v>
      </c>
      <c r="F188" s="3">
        <v>1</v>
      </c>
      <c r="G188" s="5">
        <v>40.659999999999997</v>
      </c>
      <c r="H188" s="3" t="s">
        <v>18</v>
      </c>
      <c r="I188" s="4">
        <v>44992</v>
      </c>
      <c r="J188" s="3" t="s">
        <v>19</v>
      </c>
      <c r="K188" s="10">
        <f t="shared" si="4"/>
        <v>40.659999999999997</v>
      </c>
      <c r="L188" s="25" t="str">
        <f t="shared" si="5"/>
        <v>25-34</v>
      </c>
    </row>
    <row r="189" spans="1:12" x14ac:dyDescent="0.45">
      <c r="A189" s="9" t="s">
        <v>231</v>
      </c>
      <c r="B189" s="3" t="s">
        <v>232</v>
      </c>
      <c r="C189" s="3" t="s">
        <v>10</v>
      </c>
      <c r="D189" s="6">
        <v>34</v>
      </c>
      <c r="E189" s="3" t="s">
        <v>21</v>
      </c>
      <c r="F189" s="3">
        <v>2</v>
      </c>
      <c r="G189" s="5">
        <v>30.3</v>
      </c>
      <c r="H189" s="3" t="s">
        <v>12</v>
      </c>
      <c r="I189" s="4">
        <v>44956</v>
      </c>
      <c r="J189" s="3" t="s">
        <v>13</v>
      </c>
      <c r="K189" s="10">
        <f t="shared" si="4"/>
        <v>60.6</v>
      </c>
      <c r="L189" s="25" t="str">
        <f t="shared" si="5"/>
        <v>25-34</v>
      </c>
    </row>
    <row r="190" spans="1:12" x14ac:dyDescent="0.45">
      <c r="A190" s="9" t="s">
        <v>235</v>
      </c>
      <c r="B190" s="3" t="s">
        <v>236</v>
      </c>
      <c r="C190" s="3" t="s">
        <v>14</v>
      </c>
      <c r="D190" s="6">
        <v>30</v>
      </c>
      <c r="E190" s="3" t="s">
        <v>15</v>
      </c>
      <c r="F190" s="3">
        <v>2</v>
      </c>
      <c r="G190" s="5">
        <v>1200.3399999999999</v>
      </c>
      <c r="H190" s="3" t="s">
        <v>18</v>
      </c>
      <c r="I190" s="4">
        <v>44950</v>
      </c>
      <c r="J190" s="3" t="s">
        <v>23</v>
      </c>
      <c r="K190" s="10">
        <f t="shared" si="4"/>
        <v>2400.6799999999998</v>
      </c>
      <c r="L190" s="25" t="str">
        <f t="shared" si="5"/>
        <v>25-34</v>
      </c>
    </row>
    <row r="191" spans="1:12" x14ac:dyDescent="0.45">
      <c r="A191" s="9" t="s">
        <v>241</v>
      </c>
      <c r="B191" s="3" t="s">
        <v>242</v>
      </c>
      <c r="C191" s="3" t="s">
        <v>14</v>
      </c>
      <c r="D191" s="6">
        <v>34</v>
      </c>
      <c r="E191" s="3" t="s">
        <v>11</v>
      </c>
      <c r="F191" s="3">
        <v>2</v>
      </c>
      <c r="G191" s="5">
        <v>600.16</v>
      </c>
      <c r="H191" s="3" t="s">
        <v>18</v>
      </c>
      <c r="I191" s="4">
        <v>44967</v>
      </c>
      <c r="J191" s="3" t="s">
        <v>19</v>
      </c>
      <c r="K191" s="10">
        <f t="shared" si="4"/>
        <v>1200.32</v>
      </c>
      <c r="L191" s="25" t="str">
        <f t="shared" si="5"/>
        <v>25-34</v>
      </c>
    </row>
    <row r="192" spans="1:12" x14ac:dyDescent="0.45">
      <c r="A192" s="9" t="s">
        <v>243</v>
      </c>
      <c r="B192" s="3" t="s">
        <v>244</v>
      </c>
      <c r="C192" s="3" t="s">
        <v>10</v>
      </c>
      <c r="D192" s="6">
        <v>27</v>
      </c>
      <c r="E192" s="3" t="s">
        <v>11</v>
      </c>
      <c r="F192" s="3">
        <v>4</v>
      </c>
      <c r="G192" s="5">
        <v>1200.32</v>
      </c>
      <c r="H192" s="3" t="s">
        <v>16</v>
      </c>
      <c r="I192" s="4">
        <v>44943</v>
      </c>
      <c r="J192" s="3" t="s">
        <v>23</v>
      </c>
      <c r="K192" s="10">
        <f t="shared" si="4"/>
        <v>4801.28</v>
      </c>
      <c r="L192" s="25" t="str">
        <f t="shared" si="5"/>
        <v>25-34</v>
      </c>
    </row>
    <row r="193" spans="1:12" x14ac:dyDescent="0.45">
      <c r="A193" s="9" t="s">
        <v>249</v>
      </c>
      <c r="B193" s="3" t="s">
        <v>250</v>
      </c>
      <c r="C193" s="3" t="s">
        <v>10</v>
      </c>
      <c r="D193" s="6">
        <v>26</v>
      </c>
      <c r="E193" s="3" t="s">
        <v>11</v>
      </c>
      <c r="F193" s="3">
        <v>5</v>
      </c>
      <c r="G193" s="5">
        <v>1500.4</v>
      </c>
      <c r="H193" s="3" t="s">
        <v>18</v>
      </c>
      <c r="I193" s="4">
        <v>44934</v>
      </c>
      <c r="J193" s="3" t="s">
        <v>19</v>
      </c>
      <c r="K193" s="10">
        <f t="shared" si="4"/>
        <v>7502</v>
      </c>
      <c r="L193" s="25" t="str">
        <f t="shared" si="5"/>
        <v>25-34</v>
      </c>
    </row>
    <row r="194" spans="1:12" x14ac:dyDescent="0.45">
      <c r="A194" s="9" t="s">
        <v>255</v>
      </c>
      <c r="B194" s="3" t="s">
        <v>256</v>
      </c>
      <c r="C194" s="3" t="s">
        <v>10</v>
      </c>
      <c r="D194" s="6">
        <v>34</v>
      </c>
      <c r="E194" s="3" t="s">
        <v>44</v>
      </c>
      <c r="F194" s="3">
        <v>5</v>
      </c>
      <c r="G194" s="5">
        <v>58.65</v>
      </c>
      <c r="H194" s="3" t="s">
        <v>18</v>
      </c>
      <c r="I194" s="4">
        <v>44940</v>
      </c>
      <c r="J194" s="3" t="s">
        <v>13</v>
      </c>
      <c r="K194" s="10">
        <f t="shared" ref="K194:K250" si="6">F194*G194</f>
        <v>293.25</v>
      </c>
      <c r="L194" s="25" t="str">
        <f t="shared" ref="L194:L250" si="7">IF(AND(D194&gt;=65,D194&lt;=69),"65-69",IF(AND(D194&gt;=55,D194&lt;=64),"55-64",IF(AND(D194&gt;=45,D194&lt;= 54),"45-54", IF(AND(D194&gt;=35,D194&lt;=44),"35-44", IF(AND(D194&gt;=25,D194&lt;=34),"25-34",IF(AND(D194&gt;=18,D194&lt;=24),"18-24","invalid"))))))</f>
        <v>25-34</v>
      </c>
    </row>
    <row r="195" spans="1:12" x14ac:dyDescent="0.45">
      <c r="A195" s="9" t="s">
        <v>265</v>
      </c>
      <c r="B195" s="3" t="s">
        <v>266</v>
      </c>
      <c r="C195" s="3" t="s">
        <v>10</v>
      </c>
      <c r="D195" s="6">
        <v>31</v>
      </c>
      <c r="E195" s="3" t="s">
        <v>25</v>
      </c>
      <c r="F195" s="3">
        <v>1</v>
      </c>
      <c r="G195" s="5">
        <v>5.23</v>
      </c>
      <c r="H195" s="3" t="s">
        <v>16</v>
      </c>
      <c r="I195" s="4">
        <v>44938</v>
      </c>
      <c r="J195" s="3" t="s">
        <v>24</v>
      </c>
      <c r="K195" s="10">
        <f t="shared" si="6"/>
        <v>5.23</v>
      </c>
      <c r="L195" s="25" t="str">
        <f t="shared" si="7"/>
        <v>25-34</v>
      </c>
    </row>
    <row r="196" spans="1:12" x14ac:dyDescent="0.45">
      <c r="A196" s="9" t="s">
        <v>269</v>
      </c>
      <c r="B196" s="3" t="s">
        <v>270</v>
      </c>
      <c r="C196" s="3" t="s">
        <v>10</v>
      </c>
      <c r="D196" s="6">
        <v>29</v>
      </c>
      <c r="E196" s="3" t="s">
        <v>22</v>
      </c>
      <c r="F196" s="3">
        <v>5</v>
      </c>
      <c r="G196" s="5">
        <v>203.3</v>
      </c>
      <c r="H196" s="3" t="s">
        <v>12</v>
      </c>
      <c r="I196" s="4">
        <v>44950</v>
      </c>
      <c r="J196" s="3" t="s">
        <v>24</v>
      </c>
      <c r="K196" s="10">
        <f t="shared" si="6"/>
        <v>1016.5</v>
      </c>
      <c r="L196" s="25" t="str">
        <f t="shared" si="7"/>
        <v>25-34</v>
      </c>
    </row>
    <row r="197" spans="1:12" x14ac:dyDescent="0.45">
      <c r="A197" s="9" t="s">
        <v>283</v>
      </c>
      <c r="B197" s="3" t="s">
        <v>284</v>
      </c>
      <c r="C197" s="3" t="s">
        <v>14</v>
      </c>
      <c r="D197" s="6">
        <v>26</v>
      </c>
      <c r="E197" s="3" t="s">
        <v>15</v>
      </c>
      <c r="F197" s="3">
        <v>2</v>
      </c>
      <c r="G197" s="5">
        <v>1200.3399999999999</v>
      </c>
      <c r="H197" s="3" t="s">
        <v>18</v>
      </c>
      <c r="I197" s="4">
        <v>44969</v>
      </c>
      <c r="J197" s="3" t="s">
        <v>26</v>
      </c>
      <c r="K197" s="10">
        <f t="shared" si="6"/>
        <v>2400.6799999999998</v>
      </c>
      <c r="L197" s="25" t="str">
        <f t="shared" si="7"/>
        <v>25-34</v>
      </c>
    </row>
    <row r="198" spans="1:12" x14ac:dyDescent="0.45">
      <c r="A198" s="9" t="s">
        <v>293</v>
      </c>
      <c r="B198" s="3" t="s">
        <v>294</v>
      </c>
      <c r="C198" s="3" t="s">
        <v>10</v>
      </c>
      <c r="D198" s="6">
        <v>32</v>
      </c>
      <c r="E198" s="3" t="s">
        <v>11</v>
      </c>
      <c r="F198" s="3">
        <v>2</v>
      </c>
      <c r="G198" s="5">
        <v>600.16</v>
      </c>
      <c r="H198" s="3" t="s">
        <v>12</v>
      </c>
      <c r="I198" s="4">
        <v>44963</v>
      </c>
      <c r="J198" s="3" t="s">
        <v>20</v>
      </c>
      <c r="K198" s="10">
        <f t="shared" si="6"/>
        <v>1200.32</v>
      </c>
      <c r="L198" s="25" t="str">
        <f t="shared" si="7"/>
        <v>25-34</v>
      </c>
    </row>
    <row r="199" spans="1:12" x14ac:dyDescent="0.45">
      <c r="A199" s="9" t="s">
        <v>295</v>
      </c>
      <c r="B199" s="3" t="s">
        <v>296</v>
      </c>
      <c r="C199" s="3" t="s">
        <v>10</v>
      </c>
      <c r="D199" s="6">
        <v>34</v>
      </c>
      <c r="E199" s="3" t="s">
        <v>11</v>
      </c>
      <c r="F199" s="3">
        <v>1</v>
      </c>
      <c r="G199" s="5">
        <v>300.08</v>
      </c>
      <c r="H199" s="3" t="s">
        <v>18</v>
      </c>
      <c r="I199" s="4">
        <v>44993</v>
      </c>
      <c r="J199" s="3" t="s">
        <v>13</v>
      </c>
      <c r="K199" s="10">
        <f t="shared" si="6"/>
        <v>300.08</v>
      </c>
      <c r="L199" s="25" t="str">
        <f t="shared" si="7"/>
        <v>25-34</v>
      </c>
    </row>
    <row r="200" spans="1:12" x14ac:dyDescent="0.45">
      <c r="A200" s="9" t="s">
        <v>305</v>
      </c>
      <c r="B200" s="3" t="s">
        <v>306</v>
      </c>
      <c r="C200" s="3" t="s">
        <v>10</v>
      </c>
      <c r="D200" s="6">
        <v>28</v>
      </c>
      <c r="E200" s="3" t="s">
        <v>27</v>
      </c>
      <c r="F200" s="3">
        <v>5</v>
      </c>
      <c r="G200" s="5">
        <v>179.2</v>
      </c>
      <c r="H200" s="3" t="s">
        <v>18</v>
      </c>
      <c r="I200" s="4">
        <v>44962</v>
      </c>
      <c r="J200" s="3" t="s">
        <v>19</v>
      </c>
      <c r="K200" s="10">
        <f t="shared" si="6"/>
        <v>896</v>
      </c>
      <c r="L200" s="25" t="str">
        <f t="shared" si="7"/>
        <v>25-34</v>
      </c>
    </row>
    <row r="201" spans="1:12" x14ac:dyDescent="0.45">
      <c r="A201" s="9" t="s">
        <v>335</v>
      </c>
      <c r="B201" s="3" t="s">
        <v>336</v>
      </c>
      <c r="C201" s="3" t="s">
        <v>10</v>
      </c>
      <c r="D201" s="6">
        <v>29</v>
      </c>
      <c r="E201" s="3" t="s">
        <v>11</v>
      </c>
      <c r="F201" s="3">
        <v>4</v>
      </c>
      <c r="G201" s="5">
        <v>1200.32</v>
      </c>
      <c r="H201" s="3" t="s">
        <v>18</v>
      </c>
      <c r="I201" s="4">
        <v>44943</v>
      </c>
      <c r="J201" s="3" t="s">
        <v>24</v>
      </c>
      <c r="K201" s="10">
        <f t="shared" si="6"/>
        <v>4801.28</v>
      </c>
      <c r="L201" s="25" t="str">
        <f t="shared" si="7"/>
        <v>25-34</v>
      </c>
    </row>
    <row r="202" spans="1:12" x14ac:dyDescent="0.45">
      <c r="A202" s="9" t="s">
        <v>343</v>
      </c>
      <c r="B202" s="3" t="s">
        <v>344</v>
      </c>
      <c r="C202" s="3" t="s">
        <v>14</v>
      </c>
      <c r="D202" s="6">
        <v>31</v>
      </c>
      <c r="E202" s="3" t="s">
        <v>15</v>
      </c>
      <c r="F202" s="3">
        <v>5</v>
      </c>
      <c r="G202" s="5">
        <v>3000.85</v>
      </c>
      <c r="H202" s="3" t="s">
        <v>12</v>
      </c>
      <c r="I202" s="4">
        <v>44939</v>
      </c>
      <c r="J202" s="3" t="s">
        <v>20</v>
      </c>
      <c r="K202" s="10">
        <f t="shared" si="6"/>
        <v>15004.25</v>
      </c>
      <c r="L202" s="25" t="str">
        <f t="shared" si="7"/>
        <v>25-34</v>
      </c>
    </row>
    <row r="203" spans="1:12" x14ac:dyDescent="0.45">
      <c r="A203" s="9" t="s">
        <v>359</v>
      </c>
      <c r="B203" s="3" t="s">
        <v>360</v>
      </c>
      <c r="C203" s="3" t="s">
        <v>10</v>
      </c>
      <c r="D203" s="6">
        <v>27</v>
      </c>
      <c r="E203" s="3" t="s">
        <v>11</v>
      </c>
      <c r="F203" s="3">
        <v>2</v>
      </c>
      <c r="G203" s="5">
        <v>600.16</v>
      </c>
      <c r="H203" s="3" t="s">
        <v>18</v>
      </c>
      <c r="I203" s="4">
        <v>44988</v>
      </c>
      <c r="J203" s="3" t="s">
        <v>24</v>
      </c>
      <c r="K203" s="10">
        <f t="shared" si="6"/>
        <v>1200.32</v>
      </c>
      <c r="L203" s="25" t="str">
        <f t="shared" si="7"/>
        <v>25-34</v>
      </c>
    </row>
    <row r="204" spans="1:12" x14ac:dyDescent="0.45">
      <c r="A204" s="9" t="s">
        <v>361</v>
      </c>
      <c r="B204" s="3" t="s">
        <v>362</v>
      </c>
      <c r="C204" s="3" t="s">
        <v>14</v>
      </c>
      <c r="D204" s="6">
        <v>28</v>
      </c>
      <c r="E204" s="3" t="s">
        <v>11</v>
      </c>
      <c r="F204" s="3">
        <v>4</v>
      </c>
      <c r="G204" s="5">
        <v>1200.32</v>
      </c>
      <c r="H204" s="3" t="s">
        <v>16</v>
      </c>
      <c r="I204" s="4">
        <v>44962</v>
      </c>
      <c r="J204" s="3" t="s">
        <v>24</v>
      </c>
      <c r="K204" s="10">
        <f t="shared" si="6"/>
        <v>4801.28</v>
      </c>
      <c r="L204" s="25" t="str">
        <f t="shared" si="7"/>
        <v>25-34</v>
      </c>
    </row>
    <row r="205" spans="1:12" x14ac:dyDescent="0.45">
      <c r="A205" s="9" t="s">
        <v>367</v>
      </c>
      <c r="B205" s="3" t="s">
        <v>368</v>
      </c>
      <c r="C205" s="3" t="s">
        <v>14</v>
      </c>
      <c r="D205" s="6">
        <v>29</v>
      </c>
      <c r="E205" s="3" t="s">
        <v>21</v>
      </c>
      <c r="F205" s="3">
        <v>1</v>
      </c>
      <c r="G205" s="5">
        <v>15.15</v>
      </c>
      <c r="H205" s="3" t="s">
        <v>18</v>
      </c>
      <c r="I205" s="4">
        <v>44980</v>
      </c>
      <c r="J205" s="3" t="s">
        <v>29</v>
      </c>
      <c r="K205" s="10">
        <f t="shared" si="6"/>
        <v>15.15</v>
      </c>
      <c r="L205" s="25" t="str">
        <f t="shared" si="7"/>
        <v>25-34</v>
      </c>
    </row>
    <row r="206" spans="1:12" x14ac:dyDescent="0.45">
      <c r="A206" s="9" t="s">
        <v>373</v>
      </c>
      <c r="B206" s="3" t="s">
        <v>374</v>
      </c>
      <c r="C206" s="3" t="s">
        <v>10</v>
      </c>
      <c r="D206" s="6">
        <v>29</v>
      </c>
      <c r="E206" s="3" t="s">
        <v>25</v>
      </c>
      <c r="F206" s="3">
        <v>3</v>
      </c>
      <c r="G206" s="5">
        <v>15.69</v>
      </c>
      <c r="H206" s="3" t="s">
        <v>12</v>
      </c>
      <c r="I206" s="4">
        <v>44964</v>
      </c>
      <c r="J206" s="3" t="s">
        <v>17</v>
      </c>
      <c r="K206" s="10">
        <f t="shared" si="6"/>
        <v>47.07</v>
      </c>
      <c r="L206" s="25" t="str">
        <f t="shared" si="7"/>
        <v>25-34</v>
      </c>
    </row>
    <row r="207" spans="1:12" x14ac:dyDescent="0.45">
      <c r="A207" s="9" t="s">
        <v>391</v>
      </c>
      <c r="B207" s="3" t="s">
        <v>392</v>
      </c>
      <c r="C207" s="3" t="s">
        <v>14</v>
      </c>
      <c r="D207" s="6">
        <v>32</v>
      </c>
      <c r="E207" s="3" t="s">
        <v>11</v>
      </c>
      <c r="F207" s="3">
        <v>2</v>
      </c>
      <c r="G207" s="5">
        <v>600.16</v>
      </c>
      <c r="H207" s="3" t="s">
        <v>18</v>
      </c>
      <c r="I207" s="4">
        <v>44961</v>
      </c>
      <c r="J207" s="3" t="s">
        <v>19</v>
      </c>
      <c r="K207" s="10">
        <f t="shared" si="6"/>
        <v>1200.32</v>
      </c>
      <c r="L207" s="25" t="str">
        <f t="shared" si="7"/>
        <v>25-34</v>
      </c>
    </row>
    <row r="208" spans="1:12" x14ac:dyDescent="0.45">
      <c r="A208" s="9" t="s">
        <v>399</v>
      </c>
      <c r="B208" s="3" t="s">
        <v>400</v>
      </c>
      <c r="C208" s="3" t="s">
        <v>14</v>
      </c>
      <c r="D208" s="6">
        <v>26</v>
      </c>
      <c r="E208" s="3" t="s">
        <v>27</v>
      </c>
      <c r="F208" s="3">
        <v>1</v>
      </c>
      <c r="G208" s="5">
        <v>35.840000000000003</v>
      </c>
      <c r="H208" s="3" t="s">
        <v>12</v>
      </c>
      <c r="I208" s="4">
        <v>44960</v>
      </c>
      <c r="J208" s="3" t="s">
        <v>29</v>
      </c>
      <c r="K208" s="10">
        <f t="shared" si="6"/>
        <v>35.840000000000003</v>
      </c>
      <c r="L208" s="25" t="str">
        <f t="shared" si="7"/>
        <v>25-34</v>
      </c>
    </row>
    <row r="209" spans="1:12" x14ac:dyDescent="0.45">
      <c r="A209" s="9" t="s">
        <v>411</v>
      </c>
      <c r="B209" s="3" t="s">
        <v>412</v>
      </c>
      <c r="C209" s="3" t="s">
        <v>14</v>
      </c>
      <c r="D209" s="6">
        <v>29</v>
      </c>
      <c r="E209" s="3" t="s">
        <v>15</v>
      </c>
      <c r="F209" s="3">
        <v>2</v>
      </c>
      <c r="G209" s="5">
        <v>1200.3399999999999</v>
      </c>
      <c r="H209" s="3" t="s">
        <v>12</v>
      </c>
      <c r="I209" s="4">
        <v>44993</v>
      </c>
      <c r="J209" s="3" t="s">
        <v>20</v>
      </c>
      <c r="K209" s="10">
        <f t="shared" si="6"/>
        <v>2400.6799999999998</v>
      </c>
      <c r="L209" s="25" t="str">
        <f t="shared" si="7"/>
        <v>25-34</v>
      </c>
    </row>
    <row r="210" spans="1:12" x14ac:dyDescent="0.45">
      <c r="A210" s="9" t="s">
        <v>421</v>
      </c>
      <c r="B210" s="3" t="s">
        <v>422</v>
      </c>
      <c r="C210" s="3" t="s">
        <v>10</v>
      </c>
      <c r="D210" s="6">
        <v>28</v>
      </c>
      <c r="E210" s="3" t="s">
        <v>27</v>
      </c>
      <c r="F210" s="3">
        <v>3</v>
      </c>
      <c r="G210" s="5">
        <v>107.52</v>
      </c>
      <c r="H210" s="3" t="s">
        <v>16</v>
      </c>
      <c r="I210" s="4">
        <v>44980</v>
      </c>
      <c r="J210" s="3" t="s">
        <v>26</v>
      </c>
      <c r="K210" s="10">
        <f t="shared" si="6"/>
        <v>322.56</v>
      </c>
      <c r="L210" s="25" t="str">
        <f t="shared" si="7"/>
        <v>25-34</v>
      </c>
    </row>
    <row r="211" spans="1:12" x14ac:dyDescent="0.45">
      <c r="A211" s="9" t="s">
        <v>449</v>
      </c>
      <c r="B211" s="3" t="s">
        <v>450</v>
      </c>
      <c r="C211" s="3" t="s">
        <v>14</v>
      </c>
      <c r="D211" s="6">
        <v>30</v>
      </c>
      <c r="E211" s="3" t="s">
        <v>15</v>
      </c>
      <c r="F211" s="3">
        <v>1</v>
      </c>
      <c r="G211" s="5">
        <v>600.16999999999996</v>
      </c>
      <c r="H211" s="3" t="s">
        <v>12</v>
      </c>
      <c r="I211" s="4">
        <v>44938</v>
      </c>
      <c r="J211" s="3" t="s">
        <v>13</v>
      </c>
      <c r="K211" s="10">
        <f t="shared" si="6"/>
        <v>600.16999999999996</v>
      </c>
      <c r="L211" s="25" t="str">
        <f t="shared" si="7"/>
        <v>25-34</v>
      </c>
    </row>
    <row r="212" spans="1:12" x14ac:dyDescent="0.45">
      <c r="A212" s="9" t="s">
        <v>455</v>
      </c>
      <c r="B212" s="3" t="s">
        <v>456</v>
      </c>
      <c r="C212" s="3" t="s">
        <v>14</v>
      </c>
      <c r="D212" s="6">
        <v>33</v>
      </c>
      <c r="E212" s="3" t="s">
        <v>11</v>
      </c>
      <c r="F212" s="3">
        <v>3</v>
      </c>
      <c r="G212" s="5">
        <v>900.24</v>
      </c>
      <c r="H212" s="3" t="s">
        <v>16</v>
      </c>
      <c r="I212" s="4">
        <v>44971</v>
      </c>
      <c r="J212" s="3" t="s">
        <v>24</v>
      </c>
      <c r="K212" s="10">
        <f t="shared" si="6"/>
        <v>2700.7200000000003</v>
      </c>
      <c r="L212" s="25" t="str">
        <f t="shared" si="7"/>
        <v>25-34</v>
      </c>
    </row>
    <row r="213" spans="1:12" x14ac:dyDescent="0.45">
      <c r="A213" s="9" t="s">
        <v>465</v>
      </c>
      <c r="B213" s="3" t="s">
        <v>466</v>
      </c>
      <c r="C213" s="3" t="s">
        <v>10</v>
      </c>
      <c r="D213" s="6">
        <v>30</v>
      </c>
      <c r="E213" s="3" t="s">
        <v>11</v>
      </c>
      <c r="F213" s="3">
        <v>3</v>
      </c>
      <c r="G213" s="5">
        <v>900.24</v>
      </c>
      <c r="H213" s="3" t="s">
        <v>16</v>
      </c>
      <c r="I213" s="4">
        <v>44933</v>
      </c>
      <c r="J213" s="3" t="s">
        <v>19</v>
      </c>
      <c r="K213" s="10">
        <f t="shared" si="6"/>
        <v>2700.7200000000003</v>
      </c>
      <c r="L213" s="25" t="str">
        <f t="shared" si="7"/>
        <v>25-34</v>
      </c>
    </row>
    <row r="214" spans="1:12" x14ac:dyDescent="0.45">
      <c r="A214" s="9" t="s">
        <v>473</v>
      </c>
      <c r="B214" s="3" t="s">
        <v>474</v>
      </c>
      <c r="C214" s="3" t="s">
        <v>14</v>
      </c>
      <c r="D214" s="6">
        <v>29</v>
      </c>
      <c r="E214" s="3" t="s">
        <v>22</v>
      </c>
      <c r="F214" s="3">
        <v>5</v>
      </c>
      <c r="G214" s="5">
        <v>203.3</v>
      </c>
      <c r="H214" s="3" t="s">
        <v>12</v>
      </c>
      <c r="I214" s="4">
        <v>44979</v>
      </c>
      <c r="J214" s="3" t="s">
        <v>23</v>
      </c>
      <c r="K214" s="10">
        <f t="shared" si="6"/>
        <v>1016.5</v>
      </c>
      <c r="L214" s="25" t="str">
        <f t="shared" si="7"/>
        <v>25-34</v>
      </c>
    </row>
    <row r="215" spans="1:12" x14ac:dyDescent="0.45">
      <c r="A215" s="9" t="s">
        <v>487</v>
      </c>
      <c r="B215" s="3" t="s">
        <v>488</v>
      </c>
      <c r="C215" s="3" t="s">
        <v>14</v>
      </c>
      <c r="D215" s="6">
        <v>33</v>
      </c>
      <c r="E215" s="3" t="s">
        <v>21</v>
      </c>
      <c r="F215" s="3">
        <v>4</v>
      </c>
      <c r="G215" s="5">
        <v>60.6</v>
      </c>
      <c r="H215" s="3" t="s">
        <v>18</v>
      </c>
      <c r="I215" s="4">
        <v>44947</v>
      </c>
      <c r="J215" s="3" t="s">
        <v>24</v>
      </c>
      <c r="K215" s="10">
        <f t="shared" si="6"/>
        <v>242.4</v>
      </c>
      <c r="L215" s="25" t="str">
        <f t="shared" si="7"/>
        <v>25-34</v>
      </c>
    </row>
    <row r="216" spans="1:12" x14ac:dyDescent="0.45">
      <c r="A216" s="9" t="s">
        <v>493</v>
      </c>
      <c r="B216" s="3" t="s">
        <v>494</v>
      </c>
      <c r="C216" s="3" t="s">
        <v>10</v>
      </c>
      <c r="D216" s="6">
        <v>27</v>
      </c>
      <c r="E216" s="3" t="s">
        <v>25</v>
      </c>
      <c r="F216" s="3">
        <v>5</v>
      </c>
      <c r="G216" s="5">
        <v>26.15</v>
      </c>
      <c r="H216" s="3" t="s">
        <v>12</v>
      </c>
      <c r="I216" s="4">
        <v>44935</v>
      </c>
      <c r="J216" s="3" t="s">
        <v>13</v>
      </c>
      <c r="K216" s="10">
        <f t="shared" si="6"/>
        <v>130.75</v>
      </c>
      <c r="L216" s="25" t="str">
        <f t="shared" si="7"/>
        <v>25-34</v>
      </c>
    </row>
    <row r="217" spans="1:12" x14ac:dyDescent="0.45">
      <c r="A217" s="9" t="s">
        <v>517</v>
      </c>
      <c r="B217" s="3" t="s">
        <v>518</v>
      </c>
      <c r="C217" s="3" t="s">
        <v>10</v>
      </c>
      <c r="D217" s="6">
        <v>31</v>
      </c>
      <c r="E217" s="3" t="s">
        <v>11</v>
      </c>
      <c r="F217" s="3">
        <v>2</v>
      </c>
      <c r="G217" s="5">
        <v>600.16</v>
      </c>
      <c r="H217" s="3" t="s">
        <v>12</v>
      </c>
      <c r="I217" s="4">
        <v>44981</v>
      </c>
      <c r="J217" s="3" t="s">
        <v>20</v>
      </c>
      <c r="K217" s="10">
        <f t="shared" si="6"/>
        <v>1200.32</v>
      </c>
      <c r="L217" s="25" t="str">
        <f t="shared" si="7"/>
        <v>25-34</v>
      </c>
    </row>
    <row r="218" spans="1:12" x14ac:dyDescent="0.45">
      <c r="A218" s="9" t="s">
        <v>519</v>
      </c>
      <c r="B218" s="3" t="s">
        <v>520</v>
      </c>
      <c r="C218" s="3" t="s">
        <v>10</v>
      </c>
      <c r="D218" s="6">
        <v>30</v>
      </c>
      <c r="E218" s="3" t="s">
        <v>44</v>
      </c>
      <c r="F218" s="3">
        <v>4</v>
      </c>
      <c r="G218" s="5">
        <v>46.92</v>
      </c>
      <c r="H218" s="3" t="s">
        <v>12</v>
      </c>
      <c r="I218" s="4">
        <v>44989</v>
      </c>
      <c r="J218" s="3" t="s">
        <v>13</v>
      </c>
      <c r="K218" s="10">
        <f t="shared" si="6"/>
        <v>187.68</v>
      </c>
      <c r="L218" s="25" t="str">
        <f t="shared" si="7"/>
        <v>25-34</v>
      </c>
    </row>
    <row r="219" spans="1:12" x14ac:dyDescent="0.45">
      <c r="A219" s="9" t="s">
        <v>527</v>
      </c>
      <c r="B219" s="3" t="s">
        <v>528</v>
      </c>
      <c r="C219" s="3" t="s">
        <v>10</v>
      </c>
      <c r="D219" s="6">
        <v>33</v>
      </c>
      <c r="E219" s="3" t="s">
        <v>11</v>
      </c>
      <c r="F219" s="3">
        <v>5</v>
      </c>
      <c r="G219" s="5">
        <v>1500.4</v>
      </c>
      <c r="H219" s="3" t="s">
        <v>12</v>
      </c>
      <c r="I219" s="4">
        <v>44964</v>
      </c>
      <c r="J219" s="3" t="s">
        <v>23</v>
      </c>
      <c r="K219" s="10">
        <f t="shared" si="6"/>
        <v>7502</v>
      </c>
      <c r="L219" s="25" t="str">
        <f t="shared" si="7"/>
        <v>25-34</v>
      </c>
    </row>
    <row r="220" spans="1:12" x14ac:dyDescent="0.45">
      <c r="A220" s="9" t="s">
        <v>31</v>
      </c>
      <c r="B220" s="3" t="s">
        <v>32</v>
      </c>
      <c r="C220" s="3" t="s">
        <v>14</v>
      </c>
      <c r="D220" s="6">
        <v>24</v>
      </c>
      <c r="E220" s="3" t="s">
        <v>27</v>
      </c>
      <c r="F220" s="3">
        <v>4</v>
      </c>
      <c r="G220" s="5">
        <v>143.36000000000001</v>
      </c>
      <c r="H220" s="3" t="s">
        <v>18</v>
      </c>
      <c r="I220" s="4">
        <v>44992</v>
      </c>
      <c r="J220" s="3" t="s">
        <v>28</v>
      </c>
      <c r="K220" s="10">
        <f t="shared" si="6"/>
        <v>573.44000000000005</v>
      </c>
      <c r="L220" s="25" t="str">
        <f t="shared" si="7"/>
        <v>18-24</v>
      </c>
    </row>
    <row r="221" spans="1:12" x14ac:dyDescent="0.45">
      <c r="A221" s="9" t="s">
        <v>33</v>
      </c>
      <c r="B221" s="3" t="s">
        <v>34</v>
      </c>
      <c r="C221" s="3" t="s">
        <v>14</v>
      </c>
      <c r="D221" s="6">
        <v>23</v>
      </c>
      <c r="E221" s="3" t="s">
        <v>11</v>
      </c>
      <c r="F221" s="3">
        <v>1</v>
      </c>
      <c r="G221" s="5">
        <v>300.08</v>
      </c>
      <c r="H221" s="3" t="s">
        <v>12</v>
      </c>
      <c r="I221" s="4">
        <v>44972</v>
      </c>
      <c r="J221" s="3" t="s">
        <v>26</v>
      </c>
      <c r="K221" s="10">
        <f t="shared" si="6"/>
        <v>300.08</v>
      </c>
      <c r="L221" s="25" t="str">
        <f t="shared" si="7"/>
        <v>18-24</v>
      </c>
    </row>
    <row r="222" spans="1:12" x14ac:dyDescent="0.45">
      <c r="A222" s="9" t="s">
        <v>38</v>
      </c>
      <c r="B222" s="3" t="s">
        <v>39</v>
      </c>
      <c r="C222" s="3" t="s">
        <v>10</v>
      </c>
      <c r="D222" s="6">
        <v>19</v>
      </c>
      <c r="E222" s="3" t="s">
        <v>22</v>
      </c>
      <c r="F222" s="3">
        <v>3</v>
      </c>
      <c r="G222" s="5">
        <v>121.98</v>
      </c>
      <c r="H222" s="3" t="s">
        <v>12</v>
      </c>
      <c r="I222" s="4">
        <v>44938</v>
      </c>
      <c r="J222" s="3" t="s">
        <v>24</v>
      </c>
      <c r="K222" s="10">
        <f t="shared" si="6"/>
        <v>365.94</v>
      </c>
      <c r="L222" s="25" t="str">
        <f t="shared" si="7"/>
        <v>18-24</v>
      </c>
    </row>
    <row r="223" spans="1:12" x14ac:dyDescent="0.45">
      <c r="A223" s="9" t="s">
        <v>65</v>
      </c>
      <c r="B223" s="3" t="s">
        <v>66</v>
      </c>
      <c r="C223" s="3" t="s">
        <v>10</v>
      </c>
      <c r="D223" s="6">
        <v>20</v>
      </c>
      <c r="E223" s="3" t="s">
        <v>11</v>
      </c>
      <c r="F223" s="3">
        <v>1</v>
      </c>
      <c r="G223" s="5">
        <v>300.08</v>
      </c>
      <c r="H223" s="3" t="s">
        <v>12</v>
      </c>
      <c r="I223" s="4">
        <v>44937</v>
      </c>
      <c r="J223" s="3" t="s">
        <v>24</v>
      </c>
      <c r="K223" s="10">
        <f t="shared" si="6"/>
        <v>300.08</v>
      </c>
      <c r="L223" s="25" t="str">
        <f t="shared" si="7"/>
        <v>18-24</v>
      </c>
    </row>
    <row r="224" spans="1:12" x14ac:dyDescent="0.45">
      <c r="A224" s="9" t="s">
        <v>75</v>
      </c>
      <c r="B224" s="3" t="s">
        <v>76</v>
      </c>
      <c r="C224" s="3" t="s">
        <v>14</v>
      </c>
      <c r="D224" s="6">
        <v>23</v>
      </c>
      <c r="E224" s="3" t="s">
        <v>25</v>
      </c>
      <c r="F224" s="3">
        <v>3</v>
      </c>
      <c r="G224" s="5">
        <v>15.69</v>
      </c>
      <c r="H224" s="3" t="s">
        <v>12</v>
      </c>
      <c r="I224" s="4">
        <v>44943</v>
      </c>
      <c r="J224" s="3" t="s">
        <v>13</v>
      </c>
      <c r="K224" s="10">
        <f t="shared" si="6"/>
        <v>47.07</v>
      </c>
      <c r="L224" s="25" t="str">
        <f t="shared" si="7"/>
        <v>18-24</v>
      </c>
    </row>
    <row r="225" spans="1:12" x14ac:dyDescent="0.45">
      <c r="A225" s="9" t="s">
        <v>91</v>
      </c>
      <c r="B225" s="3" t="s">
        <v>92</v>
      </c>
      <c r="C225" s="3" t="s">
        <v>10</v>
      </c>
      <c r="D225" s="6">
        <v>21</v>
      </c>
      <c r="E225" s="3" t="s">
        <v>22</v>
      </c>
      <c r="F225" s="3">
        <v>4</v>
      </c>
      <c r="G225" s="5">
        <v>162.63999999999999</v>
      </c>
      <c r="H225" s="3" t="s">
        <v>18</v>
      </c>
      <c r="I225" s="4">
        <v>44983</v>
      </c>
      <c r="J225" s="3" t="s">
        <v>23</v>
      </c>
      <c r="K225" s="10">
        <f t="shared" si="6"/>
        <v>650.55999999999995</v>
      </c>
      <c r="L225" s="25" t="str">
        <f t="shared" si="7"/>
        <v>18-24</v>
      </c>
    </row>
    <row r="226" spans="1:12" x14ac:dyDescent="0.45">
      <c r="A226" s="9" t="s">
        <v>93</v>
      </c>
      <c r="B226" s="3" t="s">
        <v>94</v>
      </c>
      <c r="C226" s="3" t="s">
        <v>14</v>
      </c>
      <c r="D226" s="6">
        <v>21</v>
      </c>
      <c r="E226" s="3" t="s">
        <v>15</v>
      </c>
      <c r="F226" s="3">
        <v>2</v>
      </c>
      <c r="G226" s="5">
        <v>1200.3399999999999</v>
      </c>
      <c r="H226" s="3" t="s">
        <v>18</v>
      </c>
      <c r="I226" s="4">
        <v>44974</v>
      </c>
      <c r="J226" s="3" t="s">
        <v>24</v>
      </c>
      <c r="K226" s="10">
        <f t="shared" si="6"/>
        <v>2400.6799999999998</v>
      </c>
      <c r="L226" s="25" t="str">
        <f t="shared" si="7"/>
        <v>18-24</v>
      </c>
    </row>
    <row r="227" spans="1:12" x14ac:dyDescent="0.45">
      <c r="A227" s="9" t="s">
        <v>127</v>
      </c>
      <c r="B227" s="3" t="s">
        <v>128</v>
      </c>
      <c r="C227" s="3" t="s">
        <v>14</v>
      </c>
      <c r="D227" s="6">
        <v>22</v>
      </c>
      <c r="E227" s="3" t="s">
        <v>25</v>
      </c>
      <c r="F227" s="3">
        <v>3</v>
      </c>
      <c r="G227" s="5">
        <v>15.69</v>
      </c>
      <c r="H227" s="3" t="s">
        <v>18</v>
      </c>
      <c r="I227" s="4">
        <v>44976</v>
      </c>
      <c r="J227" s="3" t="s">
        <v>23</v>
      </c>
      <c r="K227" s="10">
        <f t="shared" si="6"/>
        <v>47.07</v>
      </c>
      <c r="L227" s="25" t="str">
        <f t="shared" si="7"/>
        <v>18-24</v>
      </c>
    </row>
    <row r="228" spans="1:12" x14ac:dyDescent="0.45">
      <c r="A228" s="9" t="s">
        <v>137</v>
      </c>
      <c r="B228" s="3" t="s">
        <v>138</v>
      </c>
      <c r="C228" s="3" t="s">
        <v>14</v>
      </c>
      <c r="D228" s="6">
        <v>21</v>
      </c>
      <c r="E228" s="3" t="s">
        <v>35</v>
      </c>
      <c r="F228" s="3">
        <v>4</v>
      </c>
      <c r="G228" s="5">
        <v>4200</v>
      </c>
      <c r="H228" s="3" t="s">
        <v>12</v>
      </c>
      <c r="I228" s="4">
        <v>44956</v>
      </c>
      <c r="J228" s="3" t="s">
        <v>19</v>
      </c>
      <c r="K228" s="10">
        <f t="shared" si="6"/>
        <v>16800</v>
      </c>
      <c r="L228" s="25" t="str">
        <f t="shared" si="7"/>
        <v>18-24</v>
      </c>
    </row>
    <row r="229" spans="1:12" x14ac:dyDescent="0.45">
      <c r="A229" s="9" t="s">
        <v>155</v>
      </c>
      <c r="B229" s="3" t="s">
        <v>156</v>
      </c>
      <c r="C229" s="3" t="s">
        <v>10</v>
      </c>
      <c r="D229" s="6">
        <v>19</v>
      </c>
      <c r="E229" s="3" t="s">
        <v>11</v>
      </c>
      <c r="F229" s="3">
        <v>3</v>
      </c>
      <c r="G229" s="5">
        <v>900.24</v>
      </c>
      <c r="H229" s="3" t="s">
        <v>12</v>
      </c>
      <c r="I229" s="4">
        <v>44949</v>
      </c>
      <c r="J229" s="3" t="s">
        <v>13</v>
      </c>
      <c r="K229" s="10">
        <f t="shared" si="6"/>
        <v>2700.7200000000003</v>
      </c>
      <c r="L229" s="25" t="str">
        <f t="shared" si="7"/>
        <v>18-24</v>
      </c>
    </row>
    <row r="230" spans="1:12" x14ac:dyDescent="0.45">
      <c r="A230" s="9" t="s">
        <v>175</v>
      </c>
      <c r="B230" s="3" t="s">
        <v>176</v>
      </c>
      <c r="C230" s="3" t="s">
        <v>10</v>
      </c>
      <c r="D230" s="6">
        <v>20</v>
      </c>
      <c r="E230" s="3" t="s">
        <v>22</v>
      </c>
      <c r="F230" s="3">
        <v>2</v>
      </c>
      <c r="G230" s="5">
        <v>81.319999999999993</v>
      </c>
      <c r="H230" s="3" t="s">
        <v>16</v>
      </c>
      <c r="I230" s="4">
        <v>44961</v>
      </c>
      <c r="J230" s="3" t="s">
        <v>13</v>
      </c>
      <c r="K230" s="10">
        <f t="shared" si="6"/>
        <v>162.63999999999999</v>
      </c>
      <c r="L230" s="25" t="str">
        <f t="shared" si="7"/>
        <v>18-24</v>
      </c>
    </row>
    <row r="231" spans="1:12" x14ac:dyDescent="0.45">
      <c r="A231" s="9" t="s">
        <v>191</v>
      </c>
      <c r="B231" s="3" t="s">
        <v>192</v>
      </c>
      <c r="C231" s="3" t="s">
        <v>10</v>
      </c>
      <c r="D231" s="6">
        <v>24</v>
      </c>
      <c r="E231" s="3" t="s">
        <v>22</v>
      </c>
      <c r="F231" s="3">
        <v>1</v>
      </c>
      <c r="G231" s="5">
        <v>40.659999999999997</v>
      </c>
      <c r="H231" s="3" t="s">
        <v>16</v>
      </c>
      <c r="I231" s="4">
        <v>44981</v>
      </c>
      <c r="J231" s="3" t="s">
        <v>26</v>
      </c>
      <c r="K231" s="10">
        <f t="shared" si="6"/>
        <v>40.659999999999997</v>
      </c>
      <c r="L231" s="25" t="str">
        <f t="shared" si="7"/>
        <v>18-24</v>
      </c>
    </row>
    <row r="232" spans="1:12" x14ac:dyDescent="0.45">
      <c r="A232" s="9" t="s">
        <v>253</v>
      </c>
      <c r="B232" s="3" t="s">
        <v>254</v>
      </c>
      <c r="C232" s="3" t="s">
        <v>14</v>
      </c>
      <c r="D232" s="6">
        <v>18</v>
      </c>
      <c r="E232" s="3" t="s">
        <v>44</v>
      </c>
      <c r="F232" s="3">
        <v>2</v>
      </c>
      <c r="G232" s="5">
        <v>23.46</v>
      </c>
      <c r="H232" s="3" t="s">
        <v>12</v>
      </c>
      <c r="I232" s="4">
        <v>44954</v>
      </c>
      <c r="J232" s="3" t="s">
        <v>23</v>
      </c>
      <c r="K232" s="10">
        <f t="shared" si="6"/>
        <v>46.92</v>
      </c>
      <c r="L232" s="25" t="str">
        <f t="shared" si="7"/>
        <v>18-24</v>
      </c>
    </row>
    <row r="233" spans="1:12" x14ac:dyDescent="0.45">
      <c r="A233" s="9" t="s">
        <v>257</v>
      </c>
      <c r="B233" s="3" t="s">
        <v>258</v>
      </c>
      <c r="C233" s="3" t="s">
        <v>14</v>
      </c>
      <c r="D233" s="6">
        <v>24</v>
      </c>
      <c r="E233" s="3" t="s">
        <v>22</v>
      </c>
      <c r="F233" s="3">
        <v>3</v>
      </c>
      <c r="G233" s="5">
        <v>121.98</v>
      </c>
      <c r="H233" s="3" t="s">
        <v>18</v>
      </c>
      <c r="I233" s="4">
        <v>44979</v>
      </c>
      <c r="J233" s="3" t="s">
        <v>20</v>
      </c>
      <c r="K233" s="10">
        <f t="shared" si="6"/>
        <v>365.94</v>
      </c>
      <c r="L233" s="25" t="str">
        <f t="shared" si="7"/>
        <v>18-24</v>
      </c>
    </row>
    <row r="234" spans="1:12" x14ac:dyDescent="0.45">
      <c r="A234" s="9" t="s">
        <v>273</v>
      </c>
      <c r="B234" s="3" t="s">
        <v>274</v>
      </c>
      <c r="C234" s="3" t="s">
        <v>10</v>
      </c>
      <c r="D234" s="6">
        <v>21</v>
      </c>
      <c r="E234" s="3" t="s">
        <v>22</v>
      </c>
      <c r="F234" s="3">
        <v>2</v>
      </c>
      <c r="G234" s="5">
        <v>81.319999999999993</v>
      </c>
      <c r="H234" s="3" t="s">
        <v>18</v>
      </c>
      <c r="I234" s="4">
        <v>44988</v>
      </c>
      <c r="J234" s="3" t="s">
        <v>13</v>
      </c>
      <c r="K234" s="10">
        <f t="shared" si="6"/>
        <v>162.63999999999999</v>
      </c>
      <c r="L234" s="25" t="str">
        <f t="shared" si="7"/>
        <v>18-24</v>
      </c>
    </row>
    <row r="235" spans="1:12" x14ac:dyDescent="0.45">
      <c r="A235" s="9" t="s">
        <v>277</v>
      </c>
      <c r="B235" s="3" t="s">
        <v>278</v>
      </c>
      <c r="C235" s="3" t="s">
        <v>10</v>
      </c>
      <c r="D235" s="6">
        <v>18</v>
      </c>
      <c r="E235" s="3" t="s">
        <v>21</v>
      </c>
      <c r="F235" s="3">
        <v>4</v>
      </c>
      <c r="G235" s="5">
        <v>60.6</v>
      </c>
      <c r="H235" s="3" t="s">
        <v>12</v>
      </c>
      <c r="I235" s="4">
        <v>44928</v>
      </c>
      <c r="J235" s="3" t="s">
        <v>13</v>
      </c>
      <c r="K235" s="10">
        <f t="shared" si="6"/>
        <v>242.4</v>
      </c>
      <c r="L235" s="25" t="str">
        <f t="shared" si="7"/>
        <v>18-24</v>
      </c>
    </row>
    <row r="236" spans="1:12" x14ac:dyDescent="0.45">
      <c r="A236" s="9" t="s">
        <v>309</v>
      </c>
      <c r="B236" s="3" t="s">
        <v>310</v>
      </c>
      <c r="C236" s="3" t="s">
        <v>14</v>
      </c>
      <c r="D236" s="6">
        <v>20</v>
      </c>
      <c r="E236" s="3" t="s">
        <v>25</v>
      </c>
      <c r="F236" s="3">
        <v>5</v>
      </c>
      <c r="G236" s="5">
        <v>26.15</v>
      </c>
      <c r="H236" s="3" t="s">
        <v>18</v>
      </c>
      <c r="I236" s="4">
        <v>44957</v>
      </c>
      <c r="J236" s="3" t="s">
        <v>24</v>
      </c>
      <c r="K236" s="10">
        <f t="shared" si="6"/>
        <v>130.75</v>
      </c>
      <c r="L236" s="25" t="str">
        <f t="shared" si="7"/>
        <v>18-24</v>
      </c>
    </row>
    <row r="237" spans="1:12" x14ac:dyDescent="0.45">
      <c r="A237" s="9" t="s">
        <v>317</v>
      </c>
      <c r="B237" s="3" t="s">
        <v>318</v>
      </c>
      <c r="C237" s="3" t="s">
        <v>10</v>
      </c>
      <c r="D237" s="6">
        <v>23</v>
      </c>
      <c r="E237" s="3" t="s">
        <v>11</v>
      </c>
      <c r="F237" s="3">
        <v>2</v>
      </c>
      <c r="G237" s="5">
        <v>600.16</v>
      </c>
      <c r="H237" s="3" t="s">
        <v>12</v>
      </c>
      <c r="I237" s="4">
        <v>44948</v>
      </c>
      <c r="J237" s="3" t="s">
        <v>13</v>
      </c>
      <c r="K237" s="10">
        <f t="shared" si="6"/>
        <v>1200.32</v>
      </c>
      <c r="L237" s="25" t="str">
        <f t="shared" si="7"/>
        <v>18-24</v>
      </c>
    </row>
    <row r="238" spans="1:12" x14ac:dyDescent="0.45">
      <c r="A238" s="9" t="s">
        <v>327</v>
      </c>
      <c r="B238" s="3" t="s">
        <v>328</v>
      </c>
      <c r="C238" s="3" t="s">
        <v>14</v>
      </c>
      <c r="D238" s="6">
        <v>24</v>
      </c>
      <c r="E238" s="3" t="s">
        <v>25</v>
      </c>
      <c r="F238" s="3">
        <v>1</v>
      </c>
      <c r="G238" s="5">
        <v>5.23</v>
      </c>
      <c r="H238" s="3" t="s">
        <v>18</v>
      </c>
      <c r="I238" s="4">
        <v>44950</v>
      </c>
      <c r="J238" s="3" t="s">
        <v>13</v>
      </c>
      <c r="K238" s="10">
        <f t="shared" si="6"/>
        <v>5.23</v>
      </c>
      <c r="L238" s="25" t="str">
        <f t="shared" si="7"/>
        <v>18-24</v>
      </c>
    </row>
    <row r="239" spans="1:12" x14ac:dyDescent="0.45">
      <c r="A239" s="9" t="s">
        <v>347</v>
      </c>
      <c r="B239" s="3" t="s">
        <v>348</v>
      </c>
      <c r="C239" s="3" t="s">
        <v>10</v>
      </c>
      <c r="D239" s="6">
        <v>22</v>
      </c>
      <c r="E239" s="3" t="s">
        <v>22</v>
      </c>
      <c r="F239" s="3">
        <v>4</v>
      </c>
      <c r="G239" s="5">
        <v>162.63999999999999</v>
      </c>
      <c r="H239" s="3" t="s">
        <v>18</v>
      </c>
      <c r="I239" s="4">
        <v>44959</v>
      </c>
      <c r="J239" s="3" t="s">
        <v>30</v>
      </c>
      <c r="K239" s="10">
        <f t="shared" si="6"/>
        <v>650.55999999999995</v>
      </c>
      <c r="L239" s="25" t="str">
        <f t="shared" si="7"/>
        <v>18-24</v>
      </c>
    </row>
    <row r="240" spans="1:12" x14ac:dyDescent="0.45">
      <c r="A240" s="9" t="s">
        <v>377</v>
      </c>
      <c r="B240" s="3" t="s">
        <v>378</v>
      </c>
      <c r="C240" s="3" t="s">
        <v>10</v>
      </c>
      <c r="D240" s="6">
        <v>22</v>
      </c>
      <c r="E240" s="3" t="s">
        <v>11</v>
      </c>
      <c r="F240" s="3">
        <v>3</v>
      </c>
      <c r="G240" s="5">
        <v>900.24</v>
      </c>
      <c r="H240" s="3" t="s">
        <v>18</v>
      </c>
      <c r="I240" s="4">
        <v>44965</v>
      </c>
      <c r="J240" s="3" t="s">
        <v>24</v>
      </c>
      <c r="K240" s="10">
        <f t="shared" si="6"/>
        <v>2700.7200000000003</v>
      </c>
      <c r="L240" s="25" t="str">
        <f t="shared" si="7"/>
        <v>18-24</v>
      </c>
    </row>
    <row r="241" spans="1:12" x14ac:dyDescent="0.45">
      <c r="A241" s="9" t="s">
        <v>383</v>
      </c>
      <c r="B241" s="3" t="s">
        <v>384</v>
      </c>
      <c r="C241" s="3" t="s">
        <v>14</v>
      </c>
      <c r="D241" s="6">
        <v>18</v>
      </c>
      <c r="E241" s="3" t="s">
        <v>35</v>
      </c>
      <c r="F241" s="3">
        <v>1</v>
      </c>
      <c r="G241" s="5">
        <v>1050</v>
      </c>
      <c r="H241" s="3" t="s">
        <v>18</v>
      </c>
      <c r="I241" s="4">
        <v>44935</v>
      </c>
      <c r="J241" s="3" t="s">
        <v>20</v>
      </c>
      <c r="K241" s="10">
        <f t="shared" si="6"/>
        <v>1050</v>
      </c>
      <c r="L241" s="25" t="str">
        <f t="shared" si="7"/>
        <v>18-24</v>
      </c>
    </row>
    <row r="242" spans="1:12" x14ac:dyDescent="0.45">
      <c r="A242" s="9" t="s">
        <v>397</v>
      </c>
      <c r="B242" s="3" t="s">
        <v>398</v>
      </c>
      <c r="C242" s="3" t="s">
        <v>10</v>
      </c>
      <c r="D242" s="6">
        <v>23</v>
      </c>
      <c r="E242" s="3" t="s">
        <v>15</v>
      </c>
      <c r="F242" s="3">
        <v>3</v>
      </c>
      <c r="G242" s="5">
        <v>1800.51</v>
      </c>
      <c r="H242" s="3" t="s">
        <v>12</v>
      </c>
      <c r="I242" s="4">
        <v>44970</v>
      </c>
      <c r="J242" s="3" t="s">
        <v>24</v>
      </c>
      <c r="K242" s="10">
        <f t="shared" si="6"/>
        <v>5401.53</v>
      </c>
      <c r="L242" s="25" t="str">
        <f t="shared" si="7"/>
        <v>18-24</v>
      </c>
    </row>
    <row r="243" spans="1:12" x14ac:dyDescent="0.45">
      <c r="A243" s="9" t="s">
        <v>409</v>
      </c>
      <c r="B243" s="3" t="s">
        <v>410</v>
      </c>
      <c r="C243" s="3" t="s">
        <v>14</v>
      </c>
      <c r="D243" s="6">
        <v>22</v>
      </c>
      <c r="E243" s="3" t="s">
        <v>22</v>
      </c>
      <c r="F243" s="3">
        <v>3</v>
      </c>
      <c r="G243" s="5">
        <v>121.98</v>
      </c>
      <c r="H243" s="3" t="s">
        <v>12</v>
      </c>
      <c r="I243" s="4">
        <v>44949</v>
      </c>
      <c r="J243" s="3" t="s">
        <v>24</v>
      </c>
      <c r="K243" s="10">
        <f t="shared" si="6"/>
        <v>365.94</v>
      </c>
      <c r="L243" s="25" t="str">
        <f t="shared" si="7"/>
        <v>18-24</v>
      </c>
    </row>
    <row r="244" spans="1:12" x14ac:dyDescent="0.45">
      <c r="A244" s="9" t="s">
        <v>439</v>
      </c>
      <c r="B244" s="3" t="s">
        <v>440</v>
      </c>
      <c r="C244" s="3" t="s">
        <v>10</v>
      </c>
      <c r="D244" s="6">
        <v>18</v>
      </c>
      <c r="E244" s="3" t="s">
        <v>44</v>
      </c>
      <c r="F244" s="3">
        <v>4</v>
      </c>
      <c r="G244" s="5">
        <v>46.92</v>
      </c>
      <c r="H244" s="3" t="s">
        <v>18</v>
      </c>
      <c r="I244" s="4">
        <v>44986</v>
      </c>
      <c r="J244" s="3" t="s">
        <v>19</v>
      </c>
      <c r="K244" s="10">
        <f t="shared" si="6"/>
        <v>187.68</v>
      </c>
      <c r="L244" s="25" t="str">
        <f t="shared" si="7"/>
        <v>18-24</v>
      </c>
    </row>
    <row r="245" spans="1:12" x14ac:dyDescent="0.45">
      <c r="A245" s="9" t="s">
        <v>447</v>
      </c>
      <c r="B245" s="3" t="s">
        <v>448</v>
      </c>
      <c r="C245" s="3" t="s">
        <v>14</v>
      </c>
      <c r="D245" s="6">
        <v>20</v>
      </c>
      <c r="E245" s="3" t="s">
        <v>11</v>
      </c>
      <c r="F245" s="3">
        <v>4</v>
      </c>
      <c r="G245" s="5">
        <v>1200.32</v>
      </c>
      <c r="H245" s="3" t="s">
        <v>18</v>
      </c>
      <c r="I245" s="4">
        <v>44931</v>
      </c>
      <c r="J245" s="3" t="s">
        <v>19</v>
      </c>
      <c r="K245" s="10">
        <f t="shared" si="6"/>
        <v>4801.28</v>
      </c>
      <c r="L245" s="25" t="str">
        <f t="shared" si="7"/>
        <v>18-24</v>
      </c>
    </row>
    <row r="246" spans="1:12" x14ac:dyDescent="0.45">
      <c r="A246" s="9" t="s">
        <v>461</v>
      </c>
      <c r="B246" s="3" t="s">
        <v>462</v>
      </c>
      <c r="C246" s="3" t="s">
        <v>10</v>
      </c>
      <c r="D246" s="6">
        <v>18</v>
      </c>
      <c r="E246" s="3" t="s">
        <v>11</v>
      </c>
      <c r="F246" s="3">
        <v>3</v>
      </c>
      <c r="G246" s="5">
        <v>900.24</v>
      </c>
      <c r="H246" s="3" t="s">
        <v>12</v>
      </c>
      <c r="I246" s="4">
        <v>44938</v>
      </c>
      <c r="J246" s="3" t="s">
        <v>20</v>
      </c>
      <c r="K246" s="10">
        <f t="shared" si="6"/>
        <v>2700.7200000000003</v>
      </c>
      <c r="L246" s="25" t="str">
        <f t="shared" si="7"/>
        <v>18-24</v>
      </c>
    </row>
    <row r="247" spans="1:12" x14ac:dyDescent="0.45">
      <c r="A247" s="9" t="s">
        <v>479</v>
      </c>
      <c r="B247" s="3" t="s">
        <v>480</v>
      </c>
      <c r="C247" s="3" t="s">
        <v>10</v>
      </c>
      <c r="D247" s="6">
        <v>24</v>
      </c>
      <c r="E247" s="3" t="s">
        <v>15</v>
      </c>
      <c r="F247" s="3">
        <v>4</v>
      </c>
      <c r="G247" s="5">
        <v>2400.6799999999998</v>
      </c>
      <c r="H247" s="3" t="s">
        <v>12</v>
      </c>
      <c r="I247" s="4">
        <v>44983</v>
      </c>
      <c r="J247" s="3" t="s">
        <v>30</v>
      </c>
      <c r="K247" s="10">
        <f t="shared" si="6"/>
        <v>9602.7199999999993</v>
      </c>
      <c r="L247" s="25" t="str">
        <f t="shared" si="7"/>
        <v>18-24</v>
      </c>
    </row>
    <row r="248" spans="1:12" x14ac:dyDescent="0.45">
      <c r="A248" s="9" t="s">
        <v>481</v>
      </c>
      <c r="B248" s="3" t="s">
        <v>482</v>
      </c>
      <c r="C248" s="3" t="s">
        <v>14</v>
      </c>
      <c r="D248" s="6">
        <v>18</v>
      </c>
      <c r="E248" s="3" t="s">
        <v>11</v>
      </c>
      <c r="F248" s="3">
        <v>2</v>
      </c>
      <c r="G248" s="5">
        <v>600.16</v>
      </c>
      <c r="H248" s="3" t="s">
        <v>18</v>
      </c>
      <c r="I248" s="4">
        <v>44985</v>
      </c>
      <c r="J248" s="3" t="s">
        <v>13</v>
      </c>
      <c r="K248" s="10">
        <f t="shared" si="6"/>
        <v>1200.32</v>
      </c>
      <c r="L248" s="25" t="str">
        <f t="shared" si="7"/>
        <v>18-24</v>
      </c>
    </row>
    <row r="249" spans="1:12" x14ac:dyDescent="0.45">
      <c r="A249" s="9" t="s">
        <v>503</v>
      </c>
      <c r="B249" s="3" t="s">
        <v>504</v>
      </c>
      <c r="C249" s="3" t="s">
        <v>10</v>
      </c>
      <c r="D249" s="6">
        <v>23</v>
      </c>
      <c r="E249" s="3" t="s">
        <v>11</v>
      </c>
      <c r="F249" s="3">
        <v>5</v>
      </c>
      <c r="G249" s="5">
        <v>1500.4</v>
      </c>
      <c r="H249" s="3" t="s">
        <v>12</v>
      </c>
      <c r="I249" s="4">
        <v>44987</v>
      </c>
      <c r="J249" s="3" t="s">
        <v>19</v>
      </c>
      <c r="K249" s="10">
        <f t="shared" si="6"/>
        <v>7502</v>
      </c>
      <c r="L249" s="25" t="str">
        <f t="shared" si="7"/>
        <v>18-24</v>
      </c>
    </row>
    <row r="250" spans="1:12" x14ac:dyDescent="0.45">
      <c r="A250" s="17" t="s">
        <v>521</v>
      </c>
      <c r="B250" s="18" t="s">
        <v>522</v>
      </c>
      <c r="C250" s="18" t="s">
        <v>14</v>
      </c>
      <c r="D250" s="19">
        <v>24</v>
      </c>
      <c r="E250" s="18" t="s">
        <v>11</v>
      </c>
      <c r="F250" s="18">
        <v>4</v>
      </c>
      <c r="G250" s="20">
        <v>1200.32</v>
      </c>
      <c r="H250" s="18" t="s">
        <v>18</v>
      </c>
      <c r="I250" s="21">
        <v>44975</v>
      </c>
      <c r="J250" s="18" t="s">
        <v>20</v>
      </c>
      <c r="K250" s="22">
        <f t="shared" si="6"/>
        <v>4801.28</v>
      </c>
      <c r="L250" s="25" t="str">
        <f t="shared" si="7"/>
        <v>18-24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J15"/>
  <sheetViews>
    <sheetView topLeftCell="A4" workbookViewId="0">
      <selection activeCell="L11" sqref="L11"/>
    </sheetView>
  </sheetViews>
  <sheetFormatPr defaultRowHeight="14.25" x14ac:dyDescent="0.45"/>
  <cols>
    <col min="1" max="1" width="15.6640625" bestFit="1" customWidth="1"/>
    <col min="2" max="2" width="14.73046875" bestFit="1" customWidth="1"/>
    <col min="3" max="3" width="9.73046875" bestFit="1" customWidth="1"/>
    <col min="4" max="4" width="8.9296875" bestFit="1" customWidth="1"/>
    <col min="5" max="5" width="14.6640625" bestFit="1" customWidth="1"/>
    <col min="6" max="6" width="9.73046875" bestFit="1" customWidth="1"/>
    <col min="7" max="7" width="7.9296875" bestFit="1" customWidth="1"/>
    <col min="8" max="8" width="10.06640625" bestFit="1" customWidth="1"/>
    <col min="9" max="9" width="7.73046875" bestFit="1" customWidth="1"/>
    <col min="10" max="10" width="10.19921875" bestFit="1" customWidth="1"/>
  </cols>
  <sheetData>
    <row r="3" spans="1:10" x14ac:dyDescent="0.45">
      <c r="A3" s="23" t="s">
        <v>545</v>
      </c>
      <c r="B3" s="23" t="s">
        <v>546</v>
      </c>
    </row>
    <row r="4" spans="1:10" x14ac:dyDescent="0.45">
      <c r="A4" s="23" t="s">
        <v>548</v>
      </c>
      <c r="B4" t="s">
        <v>21</v>
      </c>
      <c r="C4" t="s">
        <v>11</v>
      </c>
      <c r="D4" t="s">
        <v>22</v>
      </c>
      <c r="E4" t="s">
        <v>25</v>
      </c>
      <c r="F4" t="s">
        <v>15</v>
      </c>
      <c r="G4" t="s">
        <v>44</v>
      </c>
      <c r="H4" t="s">
        <v>35</v>
      </c>
      <c r="I4" t="s">
        <v>27</v>
      </c>
      <c r="J4" t="s">
        <v>547</v>
      </c>
    </row>
    <row r="5" spans="1:10" x14ac:dyDescent="0.45">
      <c r="A5" s="24" t="s">
        <v>28</v>
      </c>
      <c r="B5" s="27"/>
      <c r="C5" s="27">
        <v>7502</v>
      </c>
      <c r="D5" s="27">
        <v>1382.44</v>
      </c>
      <c r="E5" s="27"/>
      <c r="F5" s="27"/>
      <c r="G5" s="27">
        <v>93.84</v>
      </c>
      <c r="H5" s="27"/>
      <c r="I5" s="27">
        <v>573.44000000000005</v>
      </c>
      <c r="J5" s="27">
        <v>9551.7200000000012</v>
      </c>
    </row>
    <row r="6" spans="1:10" x14ac:dyDescent="0.45">
      <c r="A6" s="24" t="s">
        <v>26</v>
      </c>
      <c r="B6" s="27"/>
      <c r="C6" s="27">
        <v>27307.280000000002</v>
      </c>
      <c r="D6" s="27">
        <v>731.87999999999988</v>
      </c>
      <c r="E6" s="27">
        <v>5.23</v>
      </c>
      <c r="F6" s="27">
        <v>2400.6799999999998</v>
      </c>
      <c r="G6" s="27">
        <v>46.92</v>
      </c>
      <c r="H6" s="27">
        <v>16800</v>
      </c>
      <c r="I6" s="27">
        <v>645.12</v>
      </c>
      <c r="J6" s="27">
        <v>47937.110000000008</v>
      </c>
    </row>
    <row r="7" spans="1:10" x14ac:dyDescent="0.45">
      <c r="A7" s="24" t="s">
        <v>17</v>
      </c>
      <c r="B7" s="27"/>
      <c r="C7" s="27">
        <v>5101.3599999999997</v>
      </c>
      <c r="D7" s="27">
        <v>1707.72</v>
      </c>
      <c r="E7" s="27">
        <v>52.3</v>
      </c>
      <c r="F7" s="27"/>
      <c r="G7" s="27">
        <v>46.92</v>
      </c>
      <c r="H7" s="27"/>
      <c r="I7" s="27">
        <v>322.56</v>
      </c>
      <c r="J7" s="27">
        <v>7230.8600000000006</v>
      </c>
    </row>
    <row r="8" spans="1:10" x14ac:dyDescent="0.45">
      <c r="A8" s="24" t="s">
        <v>23</v>
      </c>
      <c r="B8" s="27">
        <v>136.35000000000002</v>
      </c>
      <c r="C8" s="27">
        <v>35709.520000000004</v>
      </c>
      <c r="D8" s="27">
        <v>3212.14</v>
      </c>
      <c r="E8" s="27">
        <v>224.89</v>
      </c>
      <c r="F8" s="27">
        <v>2400.6799999999998</v>
      </c>
      <c r="G8" s="27">
        <v>46.92</v>
      </c>
      <c r="H8" s="27">
        <v>21000</v>
      </c>
      <c r="I8" s="27">
        <v>931.84</v>
      </c>
      <c r="J8" s="27">
        <v>63662.34</v>
      </c>
    </row>
    <row r="9" spans="1:10" x14ac:dyDescent="0.45">
      <c r="A9" s="24" t="s">
        <v>13</v>
      </c>
      <c r="B9" s="27">
        <v>681.75</v>
      </c>
      <c r="C9" s="27">
        <v>67818.080000000016</v>
      </c>
      <c r="D9" s="27">
        <v>1829.6999999999994</v>
      </c>
      <c r="E9" s="27">
        <v>413.17</v>
      </c>
      <c r="F9" s="27">
        <v>8402.3799999999992</v>
      </c>
      <c r="G9" s="27">
        <v>598.23</v>
      </c>
      <c r="H9" s="27">
        <v>16800</v>
      </c>
      <c r="I9" s="27">
        <v>143.36000000000001</v>
      </c>
      <c r="J9" s="27">
        <v>96686.670000000013</v>
      </c>
    </row>
    <row r="10" spans="1:10" x14ac:dyDescent="0.45">
      <c r="A10" s="24" t="s">
        <v>24</v>
      </c>
      <c r="B10" s="27">
        <v>1136.25</v>
      </c>
      <c r="C10" s="27">
        <v>49513.200000000004</v>
      </c>
      <c r="D10" s="27">
        <v>6220.9799999999987</v>
      </c>
      <c r="E10" s="27">
        <v>549.15000000000009</v>
      </c>
      <c r="F10" s="27">
        <v>37810.71</v>
      </c>
      <c r="G10" s="27">
        <v>293.25</v>
      </c>
      <c r="H10" s="27">
        <v>30450</v>
      </c>
      <c r="I10" s="27">
        <v>931.84</v>
      </c>
      <c r="J10" s="27">
        <v>126905.38</v>
      </c>
    </row>
    <row r="11" spans="1:10" x14ac:dyDescent="0.45">
      <c r="A11" s="24" t="s">
        <v>19</v>
      </c>
      <c r="B11" s="27">
        <v>439.35</v>
      </c>
      <c r="C11" s="27">
        <v>50113.36</v>
      </c>
      <c r="D11" s="27">
        <v>2073.66</v>
      </c>
      <c r="E11" s="27">
        <v>397.48</v>
      </c>
      <c r="F11" s="27">
        <v>42011.899999999994</v>
      </c>
      <c r="G11" s="27">
        <v>375.36</v>
      </c>
      <c r="H11" s="27">
        <v>16800</v>
      </c>
      <c r="I11" s="27">
        <v>1361.92</v>
      </c>
      <c r="J11" s="27">
        <v>113573.03</v>
      </c>
    </row>
    <row r="12" spans="1:10" x14ac:dyDescent="0.45">
      <c r="A12" s="24" t="s">
        <v>20</v>
      </c>
      <c r="B12" s="27">
        <v>621.15</v>
      </c>
      <c r="C12" s="27">
        <v>33608.959999999999</v>
      </c>
      <c r="D12" s="27">
        <v>2073.66</v>
      </c>
      <c r="E12" s="27">
        <v>104.60000000000001</v>
      </c>
      <c r="F12" s="27">
        <v>48013.599999999999</v>
      </c>
      <c r="G12" s="27">
        <v>293.25</v>
      </c>
      <c r="H12" s="27">
        <v>1050</v>
      </c>
      <c r="I12" s="27">
        <v>143.36000000000001</v>
      </c>
      <c r="J12" s="27">
        <v>85908.58</v>
      </c>
    </row>
    <row r="13" spans="1:10" x14ac:dyDescent="0.45">
      <c r="A13" s="24" t="s">
        <v>29</v>
      </c>
      <c r="B13" s="27">
        <v>15.15</v>
      </c>
      <c r="C13" s="27">
        <v>3000.7999999999997</v>
      </c>
      <c r="D13" s="27"/>
      <c r="E13" s="27">
        <v>10.46</v>
      </c>
      <c r="F13" s="27">
        <v>600.16999999999996</v>
      </c>
      <c r="G13" s="27"/>
      <c r="H13" s="27"/>
      <c r="I13" s="27">
        <v>35.840000000000003</v>
      </c>
      <c r="J13" s="27">
        <v>3662.42</v>
      </c>
    </row>
    <row r="14" spans="1:10" x14ac:dyDescent="0.45">
      <c r="A14" s="24" t="s">
        <v>30</v>
      </c>
      <c r="B14" s="27"/>
      <c r="C14" s="27">
        <v>12603.36</v>
      </c>
      <c r="D14" s="27">
        <v>2073.66</v>
      </c>
      <c r="E14" s="27"/>
      <c r="F14" s="27">
        <v>9602.7199999999993</v>
      </c>
      <c r="G14" s="27"/>
      <c r="H14" s="27">
        <v>27300</v>
      </c>
      <c r="I14" s="27"/>
      <c r="J14" s="27">
        <v>51579.74</v>
      </c>
    </row>
    <row r="15" spans="1:10" x14ac:dyDescent="0.45">
      <c r="A15" s="24" t="s">
        <v>547</v>
      </c>
      <c r="B15" s="27">
        <v>3030</v>
      </c>
      <c r="C15" s="27">
        <v>292277.92000000004</v>
      </c>
      <c r="D15" s="27">
        <v>21305.839999999997</v>
      </c>
      <c r="E15" s="27">
        <v>1757.28</v>
      </c>
      <c r="F15" s="27">
        <v>151242.84</v>
      </c>
      <c r="G15" s="27">
        <v>1794.69</v>
      </c>
      <c r="H15" s="27">
        <v>130200</v>
      </c>
      <c r="I15" s="27">
        <v>5089.28</v>
      </c>
      <c r="J15" s="27">
        <v>606697.85</v>
      </c>
    </row>
  </sheetData>
  <conditionalFormatting sqref="A3:J4 A5:A15">
    <cfRule type="colorScale" priority="2">
      <colorScale>
        <cfvo type="min"/>
        <cfvo type="percentile" val="50"/>
        <cfvo type="max"/>
        <color rgb="FF63BE7B"/>
        <color rgb="FFFFEB84"/>
        <color rgb="FFF8696B"/>
      </colorScale>
    </cfRule>
  </conditionalFormatting>
  <conditionalFormatting sqref="A3:J15">
    <cfRule type="colorScale" priority="1">
      <colorScale>
        <cfvo type="min"/>
        <cfvo type="percentile" val="50"/>
        <cfvo type="max"/>
        <color rgb="FF63BE7B"/>
        <color rgb="FFFFEB84"/>
        <color rgb="FFF8696B"/>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5C4A9-374C-434C-8530-31CCCF26CBCA}">
  <dimension ref="A1:H13"/>
  <sheetViews>
    <sheetView topLeftCell="A10" workbookViewId="0">
      <selection activeCell="N20" sqref="N20"/>
    </sheetView>
  </sheetViews>
  <sheetFormatPr defaultRowHeight="14.25" x14ac:dyDescent="0.45"/>
  <cols>
    <col min="1" max="1" width="18.46484375" bestFit="1" customWidth="1"/>
    <col min="2" max="2" width="14.73046875" bestFit="1" customWidth="1"/>
    <col min="3" max="7" width="5.33203125" bestFit="1" customWidth="1"/>
    <col min="8" max="8" width="10.19921875" bestFit="1" customWidth="1"/>
  </cols>
  <sheetData>
    <row r="1" spans="1:8" x14ac:dyDescent="0.45">
      <c r="A1" s="23" t="s">
        <v>549</v>
      </c>
      <c r="B1" s="23" t="s">
        <v>546</v>
      </c>
    </row>
    <row r="2" spans="1:8" x14ac:dyDescent="0.45">
      <c r="A2" s="23" t="s">
        <v>548</v>
      </c>
      <c r="B2" t="s">
        <v>551</v>
      </c>
      <c r="C2" t="s">
        <v>552</v>
      </c>
      <c r="D2" t="s">
        <v>553</v>
      </c>
      <c r="E2" t="s">
        <v>554</v>
      </c>
      <c r="F2" t="s">
        <v>555</v>
      </c>
      <c r="G2" t="s">
        <v>556</v>
      </c>
      <c r="H2" t="s">
        <v>547</v>
      </c>
    </row>
    <row r="3" spans="1:8" x14ac:dyDescent="0.45">
      <c r="A3" s="24" t="s">
        <v>30</v>
      </c>
      <c r="B3" s="27">
        <v>2</v>
      </c>
      <c r="C3" s="27"/>
      <c r="D3" s="27">
        <v>4</v>
      </c>
      <c r="E3" s="27">
        <v>3</v>
      </c>
      <c r="F3" s="27">
        <v>1</v>
      </c>
      <c r="G3" s="27"/>
      <c r="H3" s="27">
        <v>10</v>
      </c>
    </row>
    <row r="4" spans="1:8" x14ac:dyDescent="0.45">
      <c r="A4" s="24" t="s">
        <v>29</v>
      </c>
      <c r="B4" s="27"/>
      <c r="C4" s="27">
        <v>2</v>
      </c>
      <c r="D4" s="27">
        <v>4</v>
      </c>
      <c r="E4" s="27">
        <v>1</v>
      </c>
      <c r="F4" s="27">
        <v>2</v>
      </c>
      <c r="G4" s="27"/>
      <c r="H4" s="27">
        <v>9</v>
      </c>
    </row>
    <row r="5" spans="1:8" x14ac:dyDescent="0.45">
      <c r="A5" s="24" t="s">
        <v>20</v>
      </c>
      <c r="B5" s="27">
        <v>4</v>
      </c>
      <c r="C5" s="27">
        <v>7</v>
      </c>
      <c r="D5" s="27">
        <v>5</v>
      </c>
      <c r="E5" s="27">
        <v>6</v>
      </c>
      <c r="F5" s="27">
        <v>3</v>
      </c>
      <c r="G5" s="27">
        <v>4</v>
      </c>
      <c r="H5" s="27">
        <v>29</v>
      </c>
    </row>
    <row r="6" spans="1:8" x14ac:dyDescent="0.45">
      <c r="A6" s="24" t="s">
        <v>19</v>
      </c>
      <c r="B6" s="27">
        <v>4</v>
      </c>
      <c r="C6" s="27">
        <v>8</v>
      </c>
      <c r="D6" s="27">
        <v>7</v>
      </c>
      <c r="E6" s="27">
        <v>5</v>
      </c>
      <c r="F6" s="27">
        <v>10</v>
      </c>
      <c r="G6" s="27">
        <v>4</v>
      </c>
      <c r="H6" s="27">
        <v>38</v>
      </c>
    </row>
    <row r="7" spans="1:8" x14ac:dyDescent="0.45">
      <c r="A7" s="24" t="s">
        <v>24</v>
      </c>
      <c r="B7" s="27">
        <v>7</v>
      </c>
      <c r="C7" s="27">
        <v>8</v>
      </c>
      <c r="D7" s="27">
        <v>8</v>
      </c>
      <c r="E7" s="27">
        <v>10</v>
      </c>
      <c r="F7" s="27">
        <v>11</v>
      </c>
      <c r="G7" s="27">
        <v>5</v>
      </c>
      <c r="H7" s="27">
        <v>49</v>
      </c>
    </row>
    <row r="8" spans="1:8" x14ac:dyDescent="0.45">
      <c r="A8" s="24" t="s">
        <v>13</v>
      </c>
      <c r="B8" s="27">
        <v>8</v>
      </c>
      <c r="C8" s="27">
        <v>9</v>
      </c>
      <c r="D8" s="27">
        <v>11</v>
      </c>
      <c r="E8" s="27">
        <v>11</v>
      </c>
      <c r="F8" s="27">
        <v>7</v>
      </c>
      <c r="G8" s="27">
        <v>6</v>
      </c>
      <c r="H8" s="27">
        <v>52</v>
      </c>
    </row>
    <row r="9" spans="1:8" x14ac:dyDescent="0.45">
      <c r="A9" s="24" t="s">
        <v>23</v>
      </c>
      <c r="B9" s="27">
        <v>3</v>
      </c>
      <c r="C9" s="27">
        <v>6</v>
      </c>
      <c r="D9" s="27">
        <v>5</v>
      </c>
      <c r="E9" s="27">
        <v>10</v>
      </c>
      <c r="F9" s="27">
        <v>3</v>
      </c>
      <c r="G9" s="27">
        <v>2</v>
      </c>
      <c r="H9" s="27">
        <v>29</v>
      </c>
    </row>
    <row r="10" spans="1:8" x14ac:dyDescent="0.45">
      <c r="A10" s="24" t="s">
        <v>17</v>
      </c>
      <c r="B10" s="27"/>
      <c r="C10" s="27">
        <v>4</v>
      </c>
      <c r="D10" s="27">
        <v>1</v>
      </c>
      <c r="E10" s="27">
        <v>2</v>
      </c>
      <c r="F10" s="27">
        <v>2</v>
      </c>
      <c r="G10" s="27"/>
      <c r="H10" s="27">
        <v>9</v>
      </c>
    </row>
    <row r="11" spans="1:8" x14ac:dyDescent="0.45">
      <c r="A11" s="24" t="s">
        <v>26</v>
      </c>
      <c r="B11" s="27">
        <v>2</v>
      </c>
      <c r="C11" s="27">
        <v>3</v>
      </c>
      <c r="D11" s="27">
        <v>4</v>
      </c>
      <c r="E11" s="27">
        <v>2</v>
      </c>
      <c r="F11" s="27">
        <v>2</v>
      </c>
      <c r="G11" s="27">
        <v>4</v>
      </c>
      <c r="H11" s="27">
        <v>17</v>
      </c>
    </row>
    <row r="12" spans="1:8" x14ac:dyDescent="0.45">
      <c r="A12" s="24" t="s">
        <v>28</v>
      </c>
      <c r="B12" s="27">
        <v>1</v>
      </c>
      <c r="C12" s="27">
        <v>1</v>
      </c>
      <c r="D12" s="27">
        <v>3</v>
      </c>
      <c r="E12" s="27">
        <v>1</v>
      </c>
      <c r="F12" s="27"/>
      <c r="G12" s="27">
        <v>1</v>
      </c>
      <c r="H12" s="27">
        <v>7</v>
      </c>
    </row>
    <row r="13" spans="1:8" x14ac:dyDescent="0.45">
      <c r="A13" s="24" t="s">
        <v>547</v>
      </c>
      <c r="B13" s="27">
        <v>31</v>
      </c>
      <c r="C13" s="27">
        <v>48</v>
      </c>
      <c r="D13" s="27">
        <v>52</v>
      </c>
      <c r="E13" s="27">
        <v>51</v>
      </c>
      <c r="F13" s="27">
        <v>41</v>
      </c>
      <c r="G13" s="27">
        <v>26</v>
      </c>
      <c r="H13" s="27">
        <v>249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E9934-F1EB-4B09-A280-2034CCAFA828}">
  <dimension ref="A1:E11"/>
  <sheetViews>
    <sheetView topLeftCell="A3" workbookViewId="0">
      <selection activeCell="L22" sqref="L22"/>
    </sheetView>
  </sheetViews>
  <sheetFormatPr defaultRowHeight="14.25" x14ac:dyDescent="0.45"/>
  <cols>
    <col min="1" max="1" width="14.19921875" bestFit="1" customWidth="1"/>
    <col min="2" max="2" width="14.73046875" bestFit="1" customWidth="1"/>
    <col min="3" max="3" width="9.73046875" bestFit="1" customWidth="1"/>
    <col min="4" max="4" width="8.73046875" bestFit="1" customWidth="1"/>
    <col min="5" max="5" width="10.19921875" bestFit="1" customWidth="1"/>
    <col min="6" max="6" width="9.73046875" bestFit="1" customWidth="1"/>
    <col min="7" max="7" width="7.9296875" bestFit="1" customWidth="1"/>
    <col min="8" max="8" width="10.06640625" bestFit="1" customWidth="1"/>
    <col min="9" max="9" width="7.73046875" bestFit="1" customWidth="1"/>
    <col min="10" max="10" width="10.19921875" bestFit="1" customWidth="1"/>
  </cols>
  <sheetData>
    <row r="1" spans="1:5" x14ac:dyDescent="0.45">
      <c r="A1" s="23" t="s">
        <v>545</v>
      </c>
      <c r="B1" s="23" t="s">
        <v>546</v>
      </c>
    </row>
    <row r="2" spans="1:5" x14ac:dyDescent="0.45">
      <c r="A2" s="23" t="s">
        <v>548</v>
      </c>
      <c r="B2" t="s">
        <v>559</v>
      </c>
      <c r="C2" t="s">
        <v>560</v>
      </c>
      <c r="D2" t="s">
        <v>557</v>
      </c>
      <c r="E2" t="s">
        <v>547</v>
      </c>
    </row>
    <row r="3" spans="1:5" x14ac:dyDescent="0.45">
      <c r="A3" s="24" t="s">
        <v>21</v>
      </c>
      <c r="B3" s="27">
        <v>1818</v>
      </c>
      <c r="C3" s="27">
        <v>1151.4000000000001</v>
      </c>
      <c r="D3" s="27">
        <v>60.6</v>
      </c>
      <c r="E3" s="27">
        <v>3030</v>
      </c>
    </row>
    <row r="4" spans="1:5" x14ac:dyDescent="0.45">
      <c r="A4" s="24" t="s">
        <v>11</v>
      </c>
      <c r="B4" s="27">
        <v>130534.80000000002</v>
      </c>
      <c r="C4" s="27">
        <v>120632.16000000008</v>
      </c>
      <c r="D4" s="27">
        <v>41110.960000000006</v>
      </c>
      <c r="E4" s="27">
        <v>292277.9200000001</v>
      </c>
    </row>
    <row r="5" spans="1:5" x14ac:dyDescent="0.45">
      <c r="A5" s="24" t="s">
        <v>22</v>
      </c>
      <c r="B5" s="27">
        <v>7562.7599999999984</v>
      </c>
      <c r="C5" s="27">
        <v>11181.5</v>
      </c>
      <c r="D5" s="27">
        <v>2561.5799999999995</v>
      </c>
      <c r="E5" s="27">
        <v>21305.839999999997</v>
      </c>
    </row>
    <row r="6" spans="1:5" x14ac:dyDescent="0.45">
      <c r="A6" s="24" t="s">
        <v>25</v>
      </c>
      <c r="B6" s="27">
        <v>1004.1600000000001</v>
      </c>
      <c r="C6" s="27">
        <v>742.6600000000002</v>
      </c>
      <c r="D6" s="27">
        <v>10.46</v>
      </c>
      <c r="E6" s="27">
        <v>1757.2800000000002</v>
      </c>
    </row>
    <row r="7" spans="1:5" x14ac:dyDescent="0.45">
      <c r="A7" s="24" t="s">
        <v>15</v>
      </c>
      <c r="B7" s="27">
        <v>103229.23999999999</v>
      </c>
      <c r="C7" s="27">
        <v>45612.92</v>
      </c>
      <c r="D7" s="27">
        <v>2400.6799999999998</v>
      </c>
      <c r="E7" s="27">
        <v>151242.83999999997</v>
      </c>
    </row>
    <row r="8" spans="1:5" x14ac:dyDescent="0.45">
      <c r="A8" s="24" t="s">
        <v>44</v>
      </c>
      <c r="B8" s="27">
        <v>539.57999999999993</v>
      </c>
      <c r="C8" s="27">
        <v>539.57999999999993</v>
      </c>
      <c r="D8" s="27">
        <v>715.53</v>
      </c>
      <c r="E8" s="27">
        <v>1794.6899999999998</v>
      </c>
    </row>
    <row r="9" spans="1:5" x14ac:dyDescent="0.45">
      <c r="A9" s="24" t="s">
        <v>35</v>
      </c>
      <c r="B9" s="27">
        <v>65100</v>
      </c>
      <c r="C9" s="27">
        <v>48300</v>
      </c>
      <c r="D9" s="27">
        <v>16800</v>
      </c>
      <c r="E9" s="27">
        <v>130200</v>
      </c>
    </row>
    <row r="10" spans="1:5" x14ac:dyDescent="0.45">
      <c r="A10" s="24" t="s">
        <v>27</v>
      </c>
      <c r="B10" s="27">
        <v>2329.6</v>
      </c>
      <c r="C10" s="27">
        <v>2042.8799999999999</v>
      </c>
      <c r="D10" s="27">
        <v>716.80000000000007</v>
      </c>
      <c r="E10" s="27">
        <v>5089.28</v>
      </c>
    </row>
    <row r="11" spans="1:5" x14ac:dyDescent="0.45">
      <c r="A11" s="24" t="s">
        <v>547</v>
      </c>
      <c r="B11" s="27">
        <v>312118.14</v>
      </c>
      <c r="C11" s="27">
        <v>230203.10000000006</v>
      </c>
      <c r="D11" s="27">
        <v>64376.610000000008</v>
      </c>
      <c r="E11" s="27">
        <v>606697.85000000009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4A659-78E9-426E-803C-A11D941B7967}">
  <dimension ref="A1:C6"/>
  <sheetViews>
    <sheetView tabSelected="1" workbookViewId="0">
      <selection activeCell="C16" sqref="C16"/>
    </sheetView>
  </sheetViews>
  <sheetFormatPr defaultRowHeight="14.25" x14ac:dyDescent="0.45"/>
  <cols>
    <col min="1" max="1" width="18.46484375" bestFit="1" customWidth="1"/>
    <col min="2" max="2" width="14.73046875" bestFit="1" customWidth="1"/>
    <col min="3" max="3" width="10.19921875" bestFit="1" customWidth="1"/>
    <col min="4" max="7" width="5.33203125" bestFit="1" customWidth="1"/>
    <col min="8" max="8" width="10.19921875" bestFit="1" customWidth="1"/>
  </cols>
  <sheetData>
    <row r="1" spans="1:3" x14ac:dyDescent="0.45">
      <c r="A1" s="23" t="s">
        <v>549</v>
      </c>
      <c r="B1" s="23" t="s">
        <v>546</v>
      </c>
    </row>
    <row r="2" spans="1:3" x14ac:dyDescent="0.45">
      <c r="A2" s="23" t="s">
        <v>548</v>
      </c>
      <c r="B2" t="s">
        <v>552</v>
      </c>
      <c r="C2" t="s">
        <v>547</v>
      </c>
    </row>
    <row r="3" spans="1:3" x14ac:dyDescent="0.45">
      <c r="A3" s="24" t="s">
        <v>18</v>
      </c>
      <c r="B3" s="27">
        <v>20</v>
      </c>
      <c r="C3" s="27">
        <v>20</v>
      </c>
    </row>
    <row r="4" spans="1:3" x14ac:dyDescent="0.45">
      <c r="A4" s="24" t="s">
        <v>12</v>
      </c>
      <c r="B4" s="27">
        <v>17</v>
      </c>
      <c r="C4" s="27">
        <v>17</v>
      </c>
    </row>
    <row r="5" spans="1:3" x14ac:dyDescent="0.45">
      <c r="A5" s="24" t="s">
        <v>16</v>
      </c>
      <c r="B5" s="27">
        <v>11</v>
      </c>
      <c r="C5" s="27">
        <v>11</v>
      </c>
    </row>
    <row r="6" spans="1:3" x14ac:dyDescent="0.45">
      <c r="A6" s="24" t="s">
        <v>547</v>
      </c>
      <c r="B6" s="27">
        <v>48</v>
      </c>
      <c r="C6" s="27">
        <v>48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B91CD-619F-48DC-B54B-F3DA4EEECA03}">
  <dimension ref="A1:R3"/>
  <sheetViews>
    <sheetView showGridLines="0" workbookViewId="0">
      <selection activeCell="E35" sqref="E35"/>
    </sheetView>
  </sheetViews>
  <sheetFormatPr defaultRowHeight="14.25" x14ac:dyDescent="0.45"/>
  <sheetData>
    <row r="1" spans="1:18" ht="30.75" x14ac:dyDescent="0.9">
      <c r="A1" s="26"/>
      <c r="B1" s="26"/>
      <c r="C1" s="26"/>
      <c r="D1" s="26"/>
      <c r="E1" s="26"/>
      <c r="F1" s="26"/>
      <c r="G1" s="26"/>
      <c r="H1" s="26"/>
      <c r="I1" s="26"/>
      <c r="J1" s="26"/>
      <c r="K1" s="26"/>
      <c r="L1" s="26"/>
      <c r="M1" s="26"/>
      <c r="N1" s="26"/>
      <c r="O1" s="26"/>
      <c r="P1" s="26"/>
      <c r="Q1" s="26"/>
      <c r="R1" s="26"/>
    </row>
    <row r="2" spans="1:18" ht="30.75" x14ac:dyDescent="0.9">
      <c r="A2" s="26"/>
      <c r="B2" s="26" t="s">
        <v>558</v>
      </c>
      <c r="C2" s="26"/>
      <c r="D2" s="26"/>
      <c r="E2" s="26"/>
      <c r="F2" s="26"/>
      <c r="G2" s="26"/>
      <c r="H2" s="26"/>
      <c r="I2" s="26"/>
      <c r="J2" s="26"/>
      <c r="K2" s="26"/>
      <c r="L2" s="26"/>
      <c r="M2" s="26"/>
      <c r="N2" s="26"/>
      <c r="O2" s="26"/>
      <c r="P2" s="26"/>
      <c r="Q2" s="26"/>
      <c r="R2" s="26"/>
    </row>
    <row r="3" spans="1:18" ht="30.75" x14ac:dyDescent="0.9">
      <c r="A3" s="26"/>
      <c r="B3" s="26"/>
      <c r="C3" s="26"/>
      <c r="D3" s="26"/>
      <c r="E3" s="26"/>
      <c r="F3" s="26"/>
      <c r="G3" s="26"/>
      <c r="H3" s="26"/>
      <c r="I3" s="26"/>
      <c r="J3" s="26"/>
      <c r="K3" s="26"/>
      <c r="L3" s="26"/>
      <c r="M3" s="26"/>
      <c r="N3" s="26"/>
      <c r="O3" s="26"/>
      <c r="P3" s="26"/>
      <c r="Q3" s="26"/>
      <c r="R3" s="26"/>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customer_shoppping_data</vt:lpstr>
      <vt:lpstr>cleaning and processing</vt:lpstr>
      <vt:lpstr>sales by category and malls</vt:lpstr>
      <vt:lpstr>demographic factor </vt:lpstr>
      <vt:lpstr>monthly trend</vt:lpstr>
      <vt:lpstr>payment trends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shahs</dc:creator>
  <cp:lastModifiedBy>shahsahil892@gmail.com</cp:lastModifiedBy>
  <dcterms:created xsi:type="dcterms:W3CDTF">2024-01-19T02:50:14Z</dcterms:created>
  <dcterms:modified xsi:type="dcterms:W3CDTF">2024-01-19T22:09:38Z</dcterms:modified>
</cp:coreProperties>
</file>